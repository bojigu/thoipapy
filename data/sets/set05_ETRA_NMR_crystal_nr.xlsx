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i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<sst xmlns="http://schemas.openxmlformats.org/spreadsheetml/2006/main" count="608" uniqueCount="405">
  <si>
    <t xml:space="preserve">acc</t>
  </si>
  <si>
    <t xml:space="preserve">notes</t>
  </si>
  <si>
    <t xml:space="preserve">organism</t>
  </si>
  <si>
    <t xml:space="preserve">database</t>
  </si>
  <si>
    <t xml:space="preserve">TMD_seq</t>
  </si>
  <si>
    <t xml:space="preserve">full_seq</t>
  </si>
  <si>
    <t xml:space="preserve">NCBI</t>
  </si>
  <si>
    <t xml:space="preserve">full_seq_NCBI</t>
  </si>
  <si>
    <t xml:space="preserve">uniprot</t>
  </si>
  <si>
    <t xml:space="preserve">RCSB_site</t>
  </si>
  <si>
    <t xml:space="preserve">uniprot_site</t>
  </si>
  <si>
    <t xml:space="preserve">n_subunits</t>
  </si>
  <si>
    <t xml:space="preserve">cterm_cyto</t>
  </si>
  <si>
    <t xml:space="preserve">cterm_cyto_source</t>
  </si>
  <si>
    <t xml:space="preserve">test_data</t>
  </si>
  <si>
    <t xml:space="preserve">StructureNotes</t>
  </si>
  <si>
    <t xml:space="preserve">1orqC4</t>
  </si>
  <si>
    <t xml:space="preserve">PDB:1orq, chain:C, TMD:4, voltage-dependent potassium channel in complex with an Fab, Jiang et al. (2003)</t>
  </si>
  <si>
    <t xml:space="preserve">Mus musculus</t>
  </si>
  <si>
    <t xml:space="preserve">crystal</t>
  </si>
  <si>
    <t xml:space="preserve">GKVIGIAVMLTGISALTLLIGTVSNMFQ</t>
  </si>
  <si>
    <t xml:space="preserve">IGDVMEHPLVELGVSYAALLSVIVVVVECTMQLSGEYLVRLYLVDLILVIILWADYAYRAYKSGDPAGYVKKTLYEIPALVPAGLLALIEGHLAGLGLFRLVRLLRFLRILLIISRGSKFLSAIADAADKIRFYHLFGAVMLTVLYGAFAIYIVEYPDPNSSIKSVFDALWWAVVTATTVGYGDVVPATPIGKVIGIAVMLTGISALTLLIGTVSNMFQKILV</t>
  </si>
  <si>
    <t xml:space="preserve">gi|30749950|pdb|1ORQ|C</t>
  </si>
  <si>
    <t xml:space="preserve">P01837 </t>
  </si>
  <si>
    <t xml:space="preserve">https://www.rcsb.org/structure/1orq</t>
  </si>
  <si>
    <t xml:space="preserve">https://www.uniprot.org/uniprot/P01837 </t>
  </si>
  <si>
    <t xml:space="preserve">structure</t>
  </si>
  <si>
    <t xml:space="preserve">X-ray, 12-mer</t>
  </si>
  <si>
    <t xml:space="preserve">1xioA4</t>
  </si>
  <si>
    <t xml:space="preserve">PDB:1xio, chain:A, TMD:4, Anabaena sensory rhodopsin, Vogeley et al. (2004)</t>
  </si>
  <si>
    <t xml:space="preserve">Nostoc sp.</t>
  </si>
  <si>
    <t xml:space="preserve">GFLMSTQIVVITSGLIADL</t>
  </si>
  <si>
    <t xml:space="preserve">MNLESLLHWIYVAGMTIGALHFWSLSRNPRGVPQYEYLVAMFIPIWSGLAYMAMAIDQGKVEAAGQIAHYARYIDWMVTTPLLLLSLSWTAMQFIKKDWTLIGFLMSTQIVVITSGLIADLSERDWVRYLWYICGVCAFLIILWGIWNPLRAKTRTQSSELANLYDKLVTYFTVLWIGYPIVWIIGPSGFGWINQTIDTFLFCLLPFFSKVGFSFLDLHGLRNLNDSRQTTGDRFAENTLQFVENITLFANSRRQQSRRRV</t>
  </si>
  <si>
    <t xml:space="preserve">gi|499306541|ref|WP_010997316.1|</t>
  </si>
  <si>
    <t xml:space="preserve">Q8YSC4</t>
  </si>
  <si>
    <t xml:space="preserve">https://www.rcsb.org/structure/1XIO</t>
  </si>
  <si>
    <t xml:space="preserve">https://www.uniprot.org/uniprot/Q8YSC4</t>
  </si>
  <si>
    <t xml:space="preserve">X-ray, dimer PPI, with hetero</t>
  </si>
  <si>
    <t xml:space="preserve">2axtM1</t>
  </si>
  <si>
    <t xml:space="preserve">PDB:2axt, chain:M, TMD:1, Photosystem II reaction center protein M from Thermosynechococcus elongatus, Loll et al. (2005)</t>
  </si>
  <si>
    <t xml:space="preserve">Thermosynechococcus elongatus</t>
  </si>
  <si>
    <t xml:space="preserve">ATALFVLVPSVFLIILYV</t>
  </si>
  <si>
    <t xml:space="preserve">MEVNQLGLIATALFVLVPSVFLIILYVQTESQQKSS</t>
  </si>
  <si>
    <t xml:space="preserve">gi|499370309|ref|WP_011057887.1|</t>
  </si>
  <si>
    <t xml:space="preserve">Q8DHA7</t>
  </si>
  <si>
    <t xml:space="preserve">https://www.rcsb.org/structure/2AXT</t>
  </si>
  <si>
    <t xml:space="preserve">https://www.uniprot.org/uniprot/Q8DHA7</t>
  </si>
  <si>
    <t xml:space="preserve">X-ray, dimer</t>
  </si>
  <si>
    <t xml:space="preserve">2h8aA2</t>
  </si>
  <si>
    <t xml:space="preserve">PDB:2h8a, chain:A, TMD:2,  Microsomal Glutathione Transferase 1 in Complex with Glutathione, Holm et al. (2006)</t>
  </si>
  <si>
    <t xml:space="preserve">Rattus norvegicus</t>
  </si>
  <si>
    <t xml:space="preserve">HLNDLENIVPFLGIGLLYSL</t>
  </si>
  <si>
    <t xml:space="preserve">ADLKQLMDNEVLMAFTSYATIILAKMMFLSSATAFQRLTNKVFANPEDCAGFGKGENAKKFLRTDEKVERVRRAHLNDLENIVPFLGIGLLYSLSGPDLSTALIHFRIFVGARIYHTIAYLTPLPQPNRGLAFFVGYGVTLSMAYRLLRSRLYL</t>
  </si>
  <si>
    <t xml:space="preserve">gi|589927462|ref|XP_006976559.1|</t>
  </si>
  <si>
    <t xml:space="preserve">ADLKQLMDNEVLMAFASYATIILTKMMLMSSATAFQRLTNKVFANPEDCASFGKGENAKKFLRTDDKVERVRRAHLNDLENIVPFLGIGLLYSLSGPDLSTALMHFRIFVGARIYHTIAYLTPLPQPNRGLAFFVGYGVTFSMAYRLLKSRLYL</t>
  </si>
  <si>
    <t xml:space="preserve">P08011</t>
  </si>
  <si>
    <t xml:space="preserve">https://www.rcsb.org/3d-view/2H8A/1?preset=symmetry&amp;sele=0</t>
  </si>
  <si>
    <t xml:space="preserve">https://www.uniprot.org/uniprot/P08011</t>
  </si>
  <si>
    <t xml:space="preserve">Electron crystallography</t>
  </si>
  <si>
    <t xml:space="preserve">2j58A1</t>
  </si>
  <si>
    <t xml:space="preserve">PDB:2j58, chain:A, TMD:1, Wza, Dong et al. (2006)</t>
  </si>
  <si>
    <t xml:space="preserve">Escherichia coli</t>
  </si>
  <si>
    <t xml:space="preserve">SQLVPTISGVHDMTETVRYI</t>
  </si>
  <si>
    <t xml:space="preserve">CTIIPGQGLNSLRKNVVELPDSDYDLDKLVNVYPMTPGLIDQLRPEPVIARSNPQLDNLLKSYEYRIGVGDVLMVTVWDHPELTTPAGQYRSASDTGNWVNSDGTIFYPYIGKVQVAGKTVSQVRQDITSRLTTYIESPQVDVSIAAFRSQKVYVTGEVANSGKQAITNIPLTVMDAINAAGGLAADADWRNVVLTHNGKDTKISLYALMQKGDLTQNHLLYHGDILFIPSNDDLKVFVMGEVGKQSTLKMDRSGMTLAEALGNAEGISQEMSDATGIFVVRQLKGDRTGKIADIYQLNAQDASAMVLGTEFQLQPYDIVYVTTAPLVRWNRVISQLVPTISGVHDMTETVRYIKRWPN</t>
  </si>
  <si>
    <t xml:space="preserve">gi|1267567273|ref|WP_098362813.1|</t>
  </si>
  <si>
    <t xml:space="preserve">CTILPGQGLNSLRKNVVELPDSDYDLDKLVNVYPMTPGLIDQLRPEPVIARSNPQLDSLLKSYEYRIGVGDVLMVTVWDHPELTTPAGQYRSASDTGNWVNSDGTIFYPYIGKVQVAGKTLSQVRQDIANRLTTYIESPQVDVSIAAFRSQKVYVTGEVTNSGKQAITNIPLTVMDAINAAGGLAADADWRNVVLTHNGKDTKISLYALMQKGDLTQNHLLFPGDILFIPRNDDLKVFVMGEVGKQSTLKMDRSGMTLAEALGNAEGISQEMSDATGIFVVRQLKGDNKGKIADIYQLNAQDASAMVLGTEFQLQPYDIVYVTTAPLVRWNRVISQLVPTISGVHDMTETVRYIKRWPN</t>
  </si>
  <si>
    <t xml:space="preserve">Q9X4B7</t>
  </si>
  <si>
    <t xml:space="preserve">https://www.rcsb.org/3d-view/2J58/1?preset=symmetry&amp;sele=0</t>
  </si>
  <si>
    <t xml:space="preserve">https://www.uniprot.org/uniprot/Q9X4B7</t>
  </si>
  <si>
    <t xml:space="preserve">X-ray, octamer, should be no hetero</t>
  </si>
  <si>
    <t xml:space="preserve">3h9vA2</t>
  </si>
  <si>
    <t xml:space="preserve">PDB:3h9v, chain:A, TMD:2, ATP-gated P2X4 ion channel in the closed, apo state, Kawate et al. (2009)</t>
  </si>
  <si>
    <t xml:space="preserve">Danio rerio</t>
  </si>
  <si>
    <t xml:space="preserve">KFNIIPTLLNIGAGLALLGLVNVICDWIV</t>
  </si>
  <si>
    <t xml:space="preserve">GSSKKVGTLNRFTQALVIAYVIGYVFVYNKGYQDTDTVLSSVTTKVKGIALTKTSELGERIWDVADYIIPPQEDGSFFVLTNMIITTNQTQSKCAENPTPASTCTSHRDCKRGFNDARGDGVRTGRCVSYSASVKTCEVLSWCPLEKIVDPPNPPLLADAERFTVLIKNNIRYPKFNFNKRNILPNINSSYLTHCVFSRKTDPDCPIFRLGDIVGEAEEDFQIMAVRGGVMGVQIRWDCDLDMPQSWCVPRYTFRRLDNKDPDNNVAPGYNFRFAKYYKNSDGTETRTLIKGYGIRFDVMVFGQAGKFNIIPTLLNIGAGLALLGLVNVICDWIVLTFMKRKQHYKEQKYTYVDDF</t>
  </si>
  <si>
    <t xml:space="preserve">gi|1101572630|ref|XP_018951978.1|</t>
  </si>
  <si>
    <t xml:space="preserve">SKKVGTLNRFTQALVIAYVIGYVCVLKKGYQDTDTVLSSVTTKVKGIALTNTTELGERVWDVADYIIPPQEDGSFFVLTNMIITPNQTQSKCAENPTQASICTSHRDCKRGFNDARGDGVRTGRCVNYNDTIKTCEVLSWCPLEKIVEPPNPPLLADAENFTVLIKNNIRYPKFNFNKRNILPNINNSYLTQCVFSRKTDPDCPIFRLKDIVEEAEEDFQTMAVHGGVMGVQIRWDCDLDMPQSWCVPRYTFRRLDNKDPENNVAPGYNFRFAKYYKDSDGTETRTLIKGYGIRFDVLVFGQAGKFNIIPTLLNIGAGLALLGLVNVICDWIVLTLMKRKHHYKEQKYTYVDDF</t>
  </si>
  <si>
    <t xml:space="preserve">Q6NYR1</t>
  </si>
  <si>
    <t xml:space="preserve">https://www.rcsb.org/3d-view/3h9v/1?preset=symmetry&amp;sele=0</t>
  </si>
  <si>
    <t xml:space="preserve">https://www.uniprot.org/uniprot/Q6NYR1</t>
  </si>
  <si>
    <t xml:space="preserve">X-ray, trimer of dimers, should be no hetero</t>
  </si>
  <si>
    <t xml:space="preserve">3rifA2</t>
  </si>
  <si>
    <t xml:space="preserve">PDB:3rif, chain:A, TMD:2, C. elegans glutamate-gated chloride channel (GluCl) in complex with Fab, ivermectin and glutamate, Hibbs et al. (2011)</t>
  </si>
  <si>
    <t xml:space="preserve">elegans</t>
  </si>
  <si>
    <t xml:space="preserve">IPARVTLGVTTLLTMTAQSAGIN</t>
  </si>
  <si>
    <t xml:space="preserve">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EHHHHHH</t>
  </si>
  <si>
    <t xml:space="preserve">gi|17559548|ref|NP_507090.1|</t>
  </si>
  <si>
    <t xml:space="preserve">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KQGVERKARTEREKAEIPLLQNLHNDVPTKVFNQEEKVRTVPLNRRQMNSFLNLLETKTEWNDISKRVDLISRALFPVLFFVFNILYWSRFGQQN</t>
  </si>
  <si>
    <t xml:space="preserve">G5EBR3</t>
  </si>
  <si>
    <t xml:space="preserve">https://www.rcsb.org/3d-view/3rif/1?preset=symmetry&amp;sele=0</t>
  </si>
  <si>
    <t xml:space="preserve">https://www.uniprot.org/uniprot/G5EBR3</t>
  </si>
  <si>
    <t xml:space="preserve">X-ray, pentamer of 4 TMDs, joined at centre, with hetero</t>
  </si>
  <si>
    <t xml:space="preserve">3spcA2</t>
  </si>
  <si>
    <t xml:space="preserve">PDB:3spc, chain:A, TMD:2, Inward rectifier potassium channel Kir2.2 in complex with dioctanoylglycerol pyrophosphate (DGPP) Hansen et al. (2011)</t>
  </si>
  <si>
    <t xml:space="preserve">Gallus gallus</t>
  </si>
  <si>
    <t xml:space="preserve">PLAVFMVVVQSIVGCIIDSFMIGAIMAKM</t>
  </si>
  <si>
    <t xml:space="preserve">MARRKCRNRFVKKNGQCNVEFTNMDDKPQRYIADMFTTCVDIRWRYMLLLFSLAFLVSWLLFGLIFWLIALIHGDLENPGGDDTFKPCVLQVNGFVAAFLFSIETQTTIGYGFRCVTEECPLAVFMVVVQSIVGCIIDSFMIGAIMAKMARPKKRAQTLLFSHNAVVAMRDGKLCLMWRVGNLRKSHIVEAHVRAQLIKPRITEEGEYIPLDQIDIDVGFDKGLDRIFLVSPITILHEINEDSPLFGISRQDLETDDFEIVVILEGMVEATAMTTQARSSYLASEILWGHRFEPVLFEEKNQYKVDYSHFHKTYEVPSTPRCSAKDLVENKFLLSNSLEVLFQ</t>
  </si>
  <si>
    <t xml:space="preserve">gi|543358230|ref|XP_005523094.1|</t>
  </si>
  <si>
    <t xml:space="preserve">TRRKCRNRFVKKNGQCNVEFTNMDDKPQRYIADMFTTCVDIRWRYMLLLFSLAFLVSWLLFGLIFWLIALIHGDLENPGGDDTFKPCVLQVNGFVAAFLFSIETQTTIGYGFRCVTEECPLAVFMVVVQSIVGCIIDSFMIGAIMAKMARPKKRAQTLLFSHNAVVAMRDGKLCLMWRVGNLRKSHIVEAHVRAQLIKPRITEEGEYIPLDQIDIDVGFDKGLDRIFLVSPITILHEINEDSPLFGISRQDLETDDFEIVVILEGMVEATAMTTQARSSYLASEILWGHRFEPVLFEEKNQYKVDYSHFHKTYEVPSTPRCSAKDLVENKFLLPST</t>
  </si>
  <si>
    <t xml:space="preserve">F1NHE9</t>
  </si>
  <si>
    <t xml:space="preserve">https://www.rcsb.org/3d-view/3SPC/1?preset=symmetry&amp;sele=0</t>
  </si>
  <si>
    <t xml:space="preserve">https://www.uniprot.org/uniprot/F1NHE9</t>
  </si>
  <si>
    <t xml:space="preserve">X-ray, tetramer of ~3TMDs, with hetero</t>
  </si>
  <si>
    <t xml:space="preserve">3zk1A1</t>
  </si>
  <si>
    <t xml:space="preserve">PDB:3zk1, chain:A, TMD:1, sodium binding rotor ring at pH 5.3, Schulz et al. (2013)</t>
  </si>
  <si>
    <t xml:space="preserve">Fusobacterium nucleatum subsp. nucleatum</t>
  </si>
  <si>
    <t xml:space="preserve">LGCSAVGAGLAMIAGLGPGIGEG</t>
  </si>
  <si>
    <t xml:space="preserve">MDLLTAKTIVLGCSAVGAGLAMIAGLGPGIGEGYAAGKAVESVARQPEARGSIISTMILGQAVAESTGIYSLVIALILLYANPFLSKLG</t>
  </si>
  <si>
    <t xml:space="preserve">gi|983524216|ref|WP_060675969.1|</t>
  </si>
  <si>
    <t xml:space="preserve">MDILTAKAIVLGCSAVGAGLAMIAGLGPGIGEGYAAGKAVEAVARQPEARGTILSTMIIGQAVAESTGIYSLVVAIILLYINPFINQLG</t>
  </si>
  <si>
    <t xml:space="preserve">Q8RGD7</t>
  </si>
  <si>
    <t xml:space="preserve">https://www.rcsb.org/3d-view/3ZK1/1?preset=symmetry&amp;sele=0</t>
  </si>
  <si>
    <t xml:space="preserve">https://www.uniprot.org/uniprot/Q8RGD7</t>
  </si>
  <si>
    <t xml:space="preserve">X-ray, 12-mer of ~2 strangely bent long helices</t>
  </si>
  <si>
    <t xml:space="preserve">4hksA1</t>
  </si>
  <si>
    <t xml:space="preserve">PDB:4hks, chain:A, TMD:1, Calcium release-activated calcium channel protein 1, Long et al. (2012)</t>
  </si>
  <si>
    <t xml:space="preserve">Drosophila melanogaster</t>
  </si>
  <si>
    <t xml:space="preserve">SWTSALLSGFAMVAMVE</t>
  </si>
  <si>
    <t xml:space="preserve">MSQSGEDLHSPTYLSWRKLQLSRAKLKASSWTSALLSGFAMVAMVEVQLDHDTNVPPGMLIAFAICTTLLVAVHMLALMISTCILPNIETVSNLHSISLVHESPHERLHWYIETAWAFSTLLGLILFLLEIAILCWVKFYDLSRRAAWSATVVLIPVMIIFMAFAIHFYRSLVSHKYEVTVSGIRELEMLKEQMEQDHLEHHNNIRNNGEGEEF</t>
  </si>
  <si>
    <t xml:space="preserve">gi|428698272|pdb|4HKS|A</t>
  </si>
  <si>
    <t xml:space="preserve">Q9U6B8</t>
  </si>
  <si>
    <t xml:space="preserve">https://www.rcsb.org/3d-view/4HKS</t>
  </si>
  <si>
    <t xml:space="preserve">https://www.uniprot.org/uniprot/Q9U6B8</t>
  </si>
  <si>
    <t xml:space="preserve">X-ray, 6-mer with ~2 proteins, several TMDs, with hetero</t>
  </si>
  <si>
    <t xml:space="preserve">4i0uA1</t>
  </si>
  <si>
    <t xml:space="preserve">PDB:4i0u, chain:A, TMD:1, Cobalt/magnesium transport protein CorA, Nordin et al. (2012)</t>
  </si>
  <si>
    <t xml:space="preserve">Thermotoga maritima</t>
  </si>
  <si>
    <t xml:space="preserve">TIIATIFMPLTFIAGIYGMNF</t>
  </si>
  <si>
    <t xml:space="preserve">MEEKRLSAKKGLPPGTLVYTGKYREDFEIEVMNYSIEEFREFKTTDVESVLPFRDSSTPTWINITGIHRTDVVQRVGEFFGIHPLVLEDILNVHQRPKVEFFENYVFIVLKMFTYDKNLHELESEQVSLILTKNCVLMFQEKIGDVFDPVRERIRYNRGIIRKKRADYLLYSLIDALVDDYFVLLEKIDDEIDVLEEEVLERPEKETVQRTHQLKRNLVELRKTIWPLREVLSSLYRDVPPLIEKETVPYFRDVYDHTIQIADTVETFRDIVSGLLDVYLSSVSNKTNEVMKVLTIIATIFMPLTFIAGIYGMNFEYMPELRWKWGYPVVLAVMGVIAVIMVVYFKKKKWL</t>
  </si>
  <si>
    <t xml:space="preserve">gi|740212747|ref|WP_038054608.1|</t>
  </si>
  <si>
    <t xml:space="preserve">MEEKRLSAKKGLPPGTLVYTGKYREDFEIEVMNYSVEEFREFKTTDVESVLSFRDSSTPTWINITGIHRTDVVQRVGEFFGIHPLVLEDILNVHQRPKVEFFENYVFIVLKMFTYDENLHELESEQVSLILTKNCVLMFQEKRGDVFDPVRERIRYNRGIIRKKGADYLLYSLIDALVDDYFVLLEKIDDEIDILEEEVLERPEKETVQRIHQLKRNLVELRKTIWPLREVLSSLYRDVPPLIEKETVPYFRDVYDHTIQIADTVETFRDIVSGLLDVYLSSVSNKTNEVMKVLTIIATIFMPLTFIAGIYGMNFEYMPELKWRWSYPVILVVMGVIAVIMVIYFRKKKWL</t>
  </si>
  <si>
    <t xml:space="preserve">Q9WZ31</t>
  </si>
  <si>
    <t xml:space="preserve">https://www.rcsb.org/3d-view/4i0u</t>
  </si>
  <si>
    <t xml:space="preserve">https://www.uniprot.org/uniprot/Q9WZ31</t>
  </si>
  <si>
    <t xml:space="preserve">X-ray, 5-mer of 2TMDs, with hetero</t>
  </si>
  <si>
    <t xml:space="preserve">4o9pC1</t>
  </si>
  <si>
    <t xml:space="preserve">PDB:4o9p, chain:C, TMD:1, Thermus thermophilis transhydrogeanse domain II dimer SeMet derivative, Leung et al. (2014)</t>
  </si>
  <si>
    <t xml:space="preserve">Thermus thermophilis</t>
  </si>
  <si>
    <t xml:space="preserve">WSALYIFVLTAFLGYEL</t>
  </si>
  <si>
    <t xml:space="preserve">MEFGFWSALYIFVLTAFLGYELITRVPVILHTPLMSGSNFIHGVVVVGAMVVLGHAETGLEKLIGFLGVILGAANAAGGYAVTVRMLEMFERKPGQGGGR</t>
  </si>
  <si>
    <t xml:space="preserve">gi|740198633|ref|WP_038040591.1|</t>
  </si>
  <si>
    <t xml:space="preserve">MEFGFWSALYIFVLTAFLGYELITRVPVILHTPLMSGSNFIHGVVVVGAMVVLGHAETSLEKLIGFLGVILGAANAAGGYAVTVRMLEMFEKKPGKGGGQ</t>
  </si>
  <si>
    <t xml:space="preserve">Q72GR9</t>
  </si>
  <si>
    <t xml:space="preserve">https://www.rcsb.org/3d-view/4o9p</t>
  </si>
  <si>
    <t xml:space="preserve">https://www.uniprot.org/uniprot/Q72GR9</t>
  </si>
  <si>
    <t xml:space="preserve">X-Ray, PPI interface of 2x, 2-chain membrane proteins, with hetero</t>
  </si>
  <si>
    <t xml:space="preserve">4r0cA7</t>
  </si>
  <si>
    <t xml:space="preserve">PDB:4r0c, chain:A, TMD:7, Human TFIIB-related factor 2 (Brf2) and TBP bound to U6#2 promoter, Vannini et al. (2014)</t>
  </si>
  <si>
    <t xml:space="preserve">Alcanivorax borkumensis</t>
  </si>
  <si>
    <t xml:space="preserve">ITAMEVTMASMAGYLVLMFFAAQFVAWF</t>
  </si>
  <si>
    <t xml:space="preserve">MTRTHGWLARLEQLGNRLPHPTLLFVWFCLLLLPLTAVLGALDVTATHPLTDETITAHSLLDADGLRYLFTTLVGNFTGFAPLGVVLVAMLGLGVAEQSGLLSVSLASLVRRSSGGALVFTVAFAGVLSSLTVDAGYVVLIPLAGLVFQLAGRPPIAGIATAFAAVSGGFSANLLVGPVDATLAGLSTEAAHIIDPDRTVAATGNYWFIIASTFLVTGLVTLITRTLTEPRLAHANTVADASVDAPQIHSRAMKWTGLTLAILLAGLALLVLPNDAPLRHPDTGSVLGSPFIHGLVVIVALIAGICGAVYGRVSGQFRNSGAVITAMEVTMASMAGYLVLMFFAAQFVAWFNYSQLGLLLAVKGAAWLGALTVPKVVLLLLFVVLTALINLMIGSASAKWSILAPVFIPMLMLLGISPEASQAAYRVGDSSTNIITPLMPYFVLVLGFARRYQPETGIGTLIALMLPYSLTLLLGWSVLLGVWIGFGWPLGP</t>
  </si>
  <si>
    <t xml:space="preserve">gi|1012571973|ref|WP_062810800.1|</t>
  </si>
  <si>
    <t xml:space="preserve">MTRTHGWLARLEQLGNRLPHPTLLFVWFCLLLLPLTAVLGALDVTATHPLTDETITAHSLLDADGLRYLFTTLVGNFTGFAPLGVVLVAMLGLGVAEQSGLLSVSLASLVRRASGGALVFTVAFAGVLSSLTVDAGYVVLIPLAGLVFQLAGRSPIAGIATAFAAVSGGFSANLLVGPVDATLAGLSTEAAHIIDPDRTVAATGNYWFIIASTFLVTGLVTLITRTLTEPRLAHANTVADASVDAPQIHSRAMKWTGLTLAILLAGLALLVLPNDAPLRHPDTGSVLGSPFIHGLVVIVALIAGICGAVYGRVSGQFRNSGAVITAMEVTMASMAGYLVLMFFAAQFVAWFNYSQLGLLLAVKGAAWLGALTVPKVVLLLLFVVLTALINLMVGSASAKWSILAPVFIPMLMLLGISPEASQAAYRVGDSSTNIITPLMPYFVLVLGFARRYQPETGIGTLIALMLPYSLTLLLGWSVLLGVWIGFGWPLGP</t>
  </si>
  <si>
    <t xml:space="preserve">Q0VR69</t>
  </si>
  <si>
    <t xml:space="preserve">https://www.rcsb.org/3d-view/4r0c</t>
  </si>
  <si>
    <t xml:space="preserve">https://www.uniprot.org/uniprot/Q0VR69</t>
  </si>
  <si>
    <t xml:space="preserve">X-ray, looks like a PPI interface of 2 membrane proteins, with hetero</t>
  </si>
  <si>
    <t xml:space="preserve">4ryiA2</t>
  </si>
  <si>
    <t xml:space="preserve">PDB:4ryi, chain:A, TMD:2, Tryptophan-rich protein TspO, Guo et al. (2014)</t>
  </si>
  <si>
    <t xml:space="preserve">Bacillus cereus</t>
  </si>
  <si>
    <t xml:space="preserve">PGMTIGMIWAVLFGLIALSVA</t>
  </si>
  <si>
    <t xml:space="preserve">MDYKDDDDKHHHHHHHHHHENLYFQSYVMFMKKSSIIVFFLTYGLFYVSSVLFPIDRTWYDALEKPSWTPPGMTIGMIWAVLFGLIALSVAIIYNNYGFKPKTFWFLFLLNYIFNQAFSYFQFSQKNLFLATVDCLLVAITTLLLIMFSSNLSKVSAWLLIPYFLWSAFATYLSWTIYSIN</t>
  </si>
  <si>
    <t xml:space="preserve">gi|1267480036|ref|WP_098294919.1|</t>
  </si>
  <si>
    <t xml:space="preserve">MFMKKSSIIVFLLTYGLFYVSSVLFPIDRTWYDALEKPSWTPPGMTIGMIWAVLFGLIALSVAIIYNNYGFKPKTFWFLFLLNYICNQAFSYFQFSQKNLFLATVDCLLVAITTLLLIMFSSNLSKVSAWLLIPYFLWSAFATYLSWTIYSIN</t>
  </si>
  <si>
    <t xml:space="preserve">Q81BL7</t>
  </si>
  <si>
    <t xml:space="preserve">https://www.rcsb.org/structure/4ryi</t>
  </si>
  <si>
    <t xml:space="preserve">https://www.uniprot.org/uniprot/Q81BL7</t>
  </si>
  <si>
    <t xml:space="preserve">4wisA10</t>
  </si>
  <si>
    <t xml:space="preserve">PDB:4wis, chain:A, TMD:10,  lipid scramblase nhTMEM16 in crystal form 1, Dutzler et al. (2014)</t>
  </si>
  <si>
    <t xml:space="preserve">Nectria haematococca</t>
  </si>
  <si>
    <t xml:space="preserve">LKAWGLLLSILFAEHFYLVVQLAVR</t>
  </si>
  <si>
    <t xml:space="preserve">MSNLKDFSQPGSGQESNFGVDFVIHYKVPAAERDEAEAGFVQLIRALTTVGLATEVRHGENESLLVFVKVASPDLFAKQVYRARLGDWLHGVRVSAPHNDIAQALQDEPVVEAERLRLIYLMITKPHNEGGAGVTPTNAKWKHVESIFPLHSHSFNKEWIKKWSSKYTLEQTDIDNIRDKFGESVAFYFAFLRSYFRFLVIPSAFGFGAWLLLGQFSYLYALLCGLWSVVFFEYWKKQEVDLAVQWGVRGVSSIQQSRPEFEWEHEAEDPITGEPVKVYPPMKRVKTQLLQIPFALACVVALGALIVTCNSLEVFINEVYSGPGKQYLGFLPTIFLVIGTPTISGVLMGAAEKLNAMENYATVDAHDAALIQKQFVLNFMTSYMALFFTAFVYIPFGHILHPFLNFWRATAQTLTFSEKELPTREFQINPARISNQMFYFTVTAQIVNFATEVVVPYIKQQAFQKAKQLKSGSKVQEDHEEEAEFLQRVREECTLEEYDVSGDYREMVMQFGYVAMFSVAWPLAACCFLVNNWVELRSDALKIAISSRRPIPWRTDSIGPWLTALSFLSWLGSITSSAIVYLCSNSKNGTQGEASPLKAWGLLLSILFAEHFYLVVQLAVRFVLSKLDSPGLQKERKERFQTKKRLLQENLGQDAAEEAAAPGIEHSEKITREALEEEARQASIRGHGTPEEMFWQRQRGMQETIEIGRRMIEQQLAAGKNGKKSAPAVPSEKAS</t>
  </si>
  <si>
    <t xml:space="preserve">gi|302894295|ref|XP_003046028.1|</t>
  </si>
  <si>
    <t xml:space="preserve">C7Z7K1</t>
  </si>
  <si>
    <t xml:space="preserve">https://www.rcsb.org/3d-view/4WIS</t>
  </si>
  <si>
    <t xml:space="preserve">https://www.uniprot.org/uniprot/C7Z7K1</t>
  </si>
  <si>
    <t xml:space="preserve">X-ray, looks like a PPI interface of 2 membrane proteins, with hetero, TMDs quite distant</t>
  </si>
  <si>
    <t xml:space="preserve">5irzD6</t>
  </si>
  <si>
    <t xml:space="preserve">PDB:5irz, chain:D, TMD:6, Transient receptor potential cation channel subfamily V member 1, Gao et al. (2016)</t>
  </si>
  <si>
    <t xml:space="preserve">KAVFIILLLAYVILTYILLLNMLIALM</t>
  </si>
  <si>
    <t xml:space="preserve">AMGSRLYDRRSIFDAVAQSNCQELESLLPFLQRSKKRLTDSEFKDPETGKTCLLKAMLNLHNGQNDTIALLLDVARKTDSLKQFVNASYTDSYYKGQTALHIAIERRNMTLVTLLVENGADVQAAANGDFFKKTKGRPGFYFGELPLSLAACTNQLAIVKFLLQNSWQPADISARDSVGNTVLHALVEVADNTVDNTKFVTSMYNEILILGAKLHPTLKLEEITNRKGLTPLALAASSGKIGVLAYILQREIHEPECRHLSRKFTEWAYGPVHSSLYDLSCIDTCEKNSVLEVIAYSSSETPNRHDMLLVEPLNRLLQDKWDRFVKRIFYFNFFVYCLYMIIFTAAAYYRPVEGLPPYKLKNTVGDYFRVTGEILSVSGGVYFFFRGIQYFLQRRPSLKSLFVDSYSEILFFVQSLFMLVSVVLYFSQRKEYVASMVFSLAMGWTNMLYYTRGFQQMGIYAVMIEKMILRDLCRFMFVYLVFLFGFSTAVVTLIEDGKYNSLYSTCLELFKFTIGMGDLEFTENYDFKAVFIILLLAYVILTYILLLNMLIALMGETVNKIAQESKNIWKLQRAITILDTEKSFLKCMRKAFRSGKLLQVGFTPDGKDDYRWCFRVDEVNWTTWNTNVGIINEDPG</t>
  </si>
  <si>
    <t xml:space="preserve">gi|625248029|ref|XP_007615297.1|</t>
  </si>
  <si>
    <t xml:space="preserve">RLYDRRSIFDAVAQSNCQELESLLPFLQKSKKRLTDSEFKDPETGKTCLLKAMLNLHNGQNDTIALLLDIARQTDSLRQFVNASYTDSYYKGQTALHIAIERRNMALVTLLVENGADVQAAANGDFFKKTKGRPGFYFGELPLSLAACTNQLAIVKFLLQNSWQPADISARDSVGNTVLHALVEVADNTADNTKFVTNMYNEILILGAKLHPTLKLEELTNKKGLTPLALAASTGKIGVLAYILQREIHEPECRHLSRKFTEWAYGPVHSSLYDLSCIDTCEKNSVLEVIAYSSSETPNRHDMLLVEPLNRLLQDKWDRFVKRIFYFNFFVYCLYMIVFTTAAYYRPVEGLPPYKLRNTIGDYFRVTGEILSVLGGVYFFFRGIQYFLQRRPSLKSLFVDSYSEILFFVQSLFMLVSVILYFNQRKEYVASMVFSLAMGWTNMLYYTRGFQQMGIYAVMIEKMILRDLCRFMFVYLVFLFGFSTAVVTLIEDGKNNSVPVESTSHRWRGPACRPPDNSYNSLYSTCLELFKFTIGMGDLEFTENYDFKAVFIILLLAYVILTYILLLNMLIALMGETVNKIAQESKNIWKLQRAITILDTEKSFLKCMRKAFRSGKLLQVGFTPDGKDDYRWCFRVDEVNWTTWNTNVGIINEDPG</t>
  </si>
  <si>
    <t xml:space="preserve">O35433</t>
  </si>
  <si>
    <t xml:space="preserve">https://www.rcsb.org/structure/5irz</t>
  </si>
  <si>
    <t xml:space="preserve">https://www.uniprot.org/uniprot/O35433</t>
  </si>
  <si>
    <t xml:space="preserve">EM, looks like a PPI interface of 4 subunits, with hetero</t>
  </si>
  <si>
    <t xml:space="preserve">5nkqA1</t>
  </si>
  <si>
    <t xml:space="preserve">PDB:5nkq, chain:A, TMD:1, Putative fluoride ion transporter CrcB, Stockbridge et al. (2017)</t>
  </si>
  <si>
    <t xml:space="preserve">Bordetella pertussis</t>
  </si>
  <si>
    <t xml:space="preserve">FIAIGIGATLGAWLRWVLG</t>
  </si>
  <si>
    <t xml:space="preserve">MLTYAPLNFIAIGIGATLGAWLRWVLGLKLNGAGWPWGTLTANLVGGYLIGVMVALIASHPEWPAWIRLAAVTGFLGGLTTFSTFSAETVDMLCRGVYATAAAYAGASLAGSLAMTGLGLATVRLLLR</t>
  </si>
  <si>
    <t xml:space="preserve">gi|949819310|ref|WP_057110569.1|</t>
  </si>
  <si>
    <t xml:space="preserve">MLTYAPLNFIAIGIGATLGAWLRWVLGLRLNGAGWPWGTLTANLVGGYLIGVMVALIASHPEWPAWIRLAAVTGFLGGLTTFSTFSAETVDMLERGVYATAAAYAGASLAGS</t>
  </si>
  <si>
    <t xml:space="preserve">Q7VYU0</t>
  </si>
  <si>
    <t xml:space="preserve">https://www.rcsb.org/3d-view/5NKQ</t>
  </si>
  <si>
    <t xml:space="preserve">https://www.uniprot.org/uniprot/Q7VYU0</t>
  </si>
  <si>
    <t xml:space="preserve">X-Ray, dimer of dimers, with hetero</t>
  </si>
  <si>
    <t xml:space="preserve">5nkqA3</t>
  </si>
  <si>
    <t xml:space="preserve">PDB:5nkq, chain:A, TMD:3, Putative fluoride ion transporter CrcB, Stockbridge et al. (2017)</t>
  </si>
  <si>
    <t xml:space="preserve">AAVTGFLGGLTTFSTFSAETV</t>
  </si>
  <si>
    <t xml:space="preserve">Q7VYU1</t>
  </si>
  <si>
    <t xml:space="preserve">https://www.uniprot.org/uniprot/Q7VYU1</t>
  </si>
  <si>
    <t xml:space="preserve">X-Ray, dimer of dimers, with hetero, very strong helix opening</t>
  </si>
  <si>
    <t xml:space="preserve">5t4dA6</t>
  </si>
  <si>
    <t xml:space="preserve">PDB:5t4d, chain:A, TMD:6, Cryo-EM structure of Polycystic Kidney Disease protein 2 (PKD2), Shen et al. (2016)</t>
  </si>
  <si>
    <t xml:space="preserve">Homo sapiens</t>
  </si>
  <si>
    <t xml:space="preserve">RVLGPIYFTTFVFFMFFILLNMFLAIIN</t>
  </si>
  <si>
    <t xml:space="preserve">GAMGS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</t>
  </si>
  <si>
    <t xml:space="preserve">gi|402869921|ref|XP_003898992.1|</t>
  </si>
  <si>
    <t xml:space="preserve">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LYYVVEEILEIRIHKLHYFRSFWNCLDVVIVVLSVVAIGISIYRTSNVEVLLQFLEDQNTFPNFEHLAYWQIQFNNIAAVTVFFVWIKLFKFINFNRTMSQLSTTMSRCAKDLFGFAIMFFIIFLAYAQLAYLVFGTQVDDFSTFQECIFTQFRIILGDINFAEIEEANRVLGPIYFTTFVFFMFFILLNMFLAIINDTYSEVKSDLAQQKAEMELSD</t>
  </si>
  <si>
    <t xml:space="preserve">Q13563</t>
  </si>
  <si>
    <t xml:space="preserve">https://www.rcsb.org/3d-view/5T4D</t>
  </si>
  <si>
    <t xml:space="preserve">https://www.uniprot.org/uniprot/Q13563</t>
  </si>
  <si>
    <t xml:space="preserve">EM, tetramer with hetero</t>
  </si>
  <si>
    <t xml:space="preserve">5u6oA6</t>
  </si>
  <si>
    <t xml:space="preserve">PDB:5u6o, chain:A, TMD:6, human HCN1 hyperpolarization-activated cyclic nucleotide-gated ion channel, Lee et al. (2016)</t>
  </si>
  <si>
    <t xml:space="preserve">ITMLSMIVGATCYAMFVGHATALI</t>
  </si>
  <si>
    <t xml:space="preserve"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ALPRESSSVLNTDPDAEKPRFASNL</t>
  </si>
  <si>
    <t xml:space="preserve">gi|724899269|ref|XP_010376971.1|</t>
  </si>
  <si>
    <t xml:space="preserve">MEVGGKPNSSSNSRDDGNSVFPAKASATGAGPAAAEKRLGTPPGGGGAGTKEHGNSVCFKVDGGGGGGG-----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</t>
  </si>
  <si>
    <t xml:space="preserve">O60741</t>
  </si>
  <si>
    <t xml:space="preserve">https://www.rcsb.org/structure/5u6o</t>
  </si>
  <si>
    <t xml:space="preserve">https://www.uniprot.org/uniprot/O60741</t>
  </si>
  <si>
    <t xml:space="preserve">EM, 4-mer</t>
  </si>
  <si>
    <t xml:space="preserve">5uldA9</t>
  </si>
  <si>
    <t xml:space="preserve">PDB:5uld, chain:A, TMD:9, divalent anion/Na+ symporter from Vibrio cholerae and a humanized variant, Lu et al. (2017)</t>
  </si>
  <si>
    <t xml:space="preserve">Vibrio cholerae serotype O1 </t>
  </si>
  <si>
    <t xml:space="preserve">WKEIQKTADWGILLLFGGGLCL</t>
  </si>
  <si>
    <t xml:space="preserve">LHRNSLIVLADVALFLALYHFLPFEHNVVLGISMLAFIAVLWLTEALHVTVTAILVPVMAVFFGIFETQAALNNFANSIIFLFLGGFALAAAMHHQGLDKVIADKVLAMAQGKMSVAVFMLFGVTALLSMWISNTATAAMMLPLVLGVLSKVDADKQRSTYVFVLLGVAYSASIGGIATLVGTGPNAIAAAEVGLSFTDWMKFGLPTAMMMLPMAIAILYFLLKPTLNGMFELDRAPVNWDKGKVVTLGIFGLTVFLWIFSSPINAALGGFKSFDTLVALGAILMLSFARVVHWKEIQKTADWGILLLFGGGLCLSNVLKQTGTSVFLANALSDMVSHMGIFVVILVVATFVVFLTEFTSNVATTTLLIPVFATVAEAFGMSPVLLSVLIAVAASCAFMLPVATPPNAIVFASGHIKQSEMMRVGLYLNIACIGLLTAIAMLFWQ</t>
  </si>
  <si>
    <t xml:space="preserve">gi|1193829529|pdb|5ULD|A</t>
  </si>
  <si>
    <t xml:space="preserve">Q9KNE0</t>
  </si>
  <si>
    <t xml:space="preserve">https://www.rcsb.org/3d-view/5ULD</t>
  </si>
  <si>
    <t xml:space="preserve">https://www.uniprot.org/uniprot/Q9KNE0</t>
  </si>
  <si>
    <t xml:space="preserve">X-ray,  dimer of dimers, extremely strong helix bending</t>
  </si>
  <si>
    <t xml:space="preserve">P20963</t>
  </si>
  <si>
    <t xml:space="preserve">PDB:2hac, T-cell surface glycoprotein CD3 zeta chain, Chou et al. (2006)</t>
  </si>
  <si>
    <t xml:space="preserve">Human</t>
  </si>
  <si>
    <t xml:space="preserve">NMR</t>
  </si>
  <si>
    <t xml:space="preserve">LCYLLDGILFIYGVILTALFL</t>
  </si>
  <si>
    <t xml:space="preserve">MKWKALFTAAILQAQLPITEAQSFGLLDPKLCYLLDGILFIYGVILTALFLRVKFSRSADAPAYQQGQNQLYNELNLGRREEYDVLDKRRGRDPEMGGKPQRRKNPQEGLYNELQKDKMAEAYSEIGMKGERRRGKGHDGLYQGLSTATKDTYDALHMQALPPR</t>
  </si>
  <si>
    <t xml:space="preserve">gi|795135342|ref|XP_011835296.1|</t>
  </si>
  <si>
    <t xml:space="preserve">MKWKELVTAAILQAQFPITEAQSFGLLDPKLCYLLDGILFIYGVILTALFLRVKFSRSADAPAYQQGQNQLYNELNLGRREEYDVLDKRRGGDPEMGGKPQRRKNPQEGLYNALQKDKMAEAYSEIGMKGERRRGKGHDGLYQGLSTATKDTYDALHMQTLPPR</t>
  </si>
  <si>
    <t xml:space="preserve">https://www.uniprot.org/uniprot/P20963</t>
  </si>
  <si>
    <t xml:space="preserve">UniProt</t>
  </si>
  <si>
    <t xml:space="preserve">P21709</t>
  </si>
  <si>
    <t xml:space="preserve">PDB:2k1k, Ephrin type-A receptor 1, Mayzel et al. (2008)</t>
  </si>
  <si>
    <t xml:space="preserve">IVAVIFGLLLGAALLLGILVF</t>
  </si>
  <si>
    <t xml:space="preserve"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</si>
  <si>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 xml:space="preserve">gi|795585291|ref|XP_011912916.1|</t>
  </si>
  <si>
    <t xml:space="preserve">MERRWPLGLGLVLLLCTPLPPGARTKEVTLMDTSKAQGELGWLLDPPKDGWSERQQILNGTPLYMYQDCPVQGRRDTDHWLRSNWIYRGEEASRVHVELQFTLRDCKSFPGGAGPLGCKETFNLLYMESDQDVGIQLRRPLFQKVTTVAADQSFTIRDLASGSMKLNVERCSLGHLTRRGLYLAFHNPGACVALVSVRVFYQRCPETLNGLAQFPDTLPGPAGLVEVAGTCLPHAQASPRPSGAPRMHCSPDGEWLVPVGRCHCEPGYEEGGSGKGCVACPSGSYRTDMDTPHCLTCPQHSTAESEGATICTCESGHYRAPGEGPQVACTRPPSAPQNLSSSASGTQLSLRWEPPADMGGRQDVRYSVRCSQCQGTAQDGGPCQPCGVGVHFSPGARGLTTSAVHVSGLEPYANYTFNVEAQNGVSGLGSSGHASTSVSISMGHAEPLSGLSLRLVKKEPRQLELTWAGSRPRSPGGNLSYELHVLNQDEERYQMVLEPRVLLTELQPDTTYIVRVRMLTPLGPGPFSPDHEFRTSPPVSRGLSGGEIVAVIFGLLLGAALLLGILVFRSRRAQRQRQQRQRDRATDVDREDKLWLKPYVDLQAYEDPAQGALDFTRELDPAWLMVDTVIGEGEFGEVYRGTLRLPSQDCKTVAIKTLKDTSPGGQWWNFLREATIMGQFSHRHILHLEGVVTKRKPIMIITEFMENGALDAFLREREDQLVPGQLVAMLQGIASGMNYLSNHNYVHRDLAARNILVNQDLCCKVSDFGLTRLLDDFDGTYETQGGKIPIRWTAPEAIAHRIFTTASDVWSFGIVMWEVLSFGDKPYGEMSNQEVMKSIEDGYRLPPPVDCPAPLYELMKNCWAYDRARRPHFQKLQAHLEQVLANPHSLRTIANFDPRVTLRLPSLSGSDGIPYRSVSEWLESIRMKRYILHFHSAGLDTMECVLELTAEDLTQMGITLPGHQKRILCSIQGFKD</t>
  </si>
  <si>
    <t xml:space="preserve">https://www.uniprot.org/uniprot/P21709</t>
  </si>
  <si>
    <t xml:space="preserve">O43914</t>
  </si>
  <si>
    <t xml:space="preserve">PDB:2l34, TYRO protein tyrosine kinase-binding protein, Call et al. (2010)</t>
  </si>
  <si>
    <t xml:space="preserve">LAGIVMGDLVLTVLIALAVYFL</t>
  </si>
  <si>
    <t xml:space="preserve">MGGLEPCSRLLLLPLLLAVSGLRPVQAQAQSDCSCSTVSPGVLAGIVMGDLVLTVLIALAVYFLGRLVPRGRGAAEAATRKQRITETESPYQELQGQRSDVYSDLNTQRPYYK</t>
  </si>
  <si>
    <t xml:space="preserve">gi|134288877|ref|NP_001077092.1|</t>
  </si>
  <si>
    <t xml:space="preserve">MGGLEPCSRLLLLPLLLAVGGLRPVQAQAQSDCSCSTVSPGVLAGIVMGDLVLTVLIALAVYFLGRLVHRGRGAAEAATRKQRITETESPYQELQGQRSDVYSDLNMQRPYYK</t>
  </si>
  <si>
    <t xml:space="preserve">https://www.uniprot.org/uniprot/O43914</t>
  </si>
  <si>
    <t xml:space="preserve">P05067</t>
  </si>
  <si>
    <t xml:space="preserve">PDB:2loh, Amyloid beta A4 protein, Nadezhdin et al. (2012)</t>
  </si>
  <si>
    <t xml:space="preserve">AIIGLMVGGVVIATVIVITLVML</t>
  </si>
  <si>
    <t xml:space="preserve"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</si>
  <si>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 xml:space="preserve">gi|1297600455|ref|XP_023045769.1|</t>
  </si>
  <si>
    <t xml:space="preserve">MLPSLALLLLAAWTARALEVPTDGNAGLLAEPQIAMFCGRLNMHMNVQNGKWDSDPSGTKTCIDTKEGILQYCQEVYPELQITNVVEANQPVTIQNWCKRGRKQCKTHPHFVIPYRCLVGEFVSDALLVPDKCKFLHQERMDVCETHLHWHTVAKETCSEKSTNLHDYGMLLPCGIDKFRGVEFVCCPLAEESDNVDSADAEEDDSDVWWGGADTDYADGSEDKVVEVAEEEEVAEVEEEEADDDEDDEDGDEVEEEAEEPYEEAAERTTSIATTTTTTTTESVEEVVREVCSEQAETGPCRAMISRWYFDVTEGKCAPFFYGGCGGNRNNFDTEEYCMAVCGSVMSQSLRKTTREPLTQ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</si>
  <si>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 xml:space="preserve">https://www.uniprot.org/uniprot/P05067</t>
  </si>
  <si>
    <t xml:space="preserve">P09619</t>
  </si>
  <si>
    <t xml:space="preserve">PDB:2l6w, Platelet-derived growth factor receptor beta, Muhle-Goll et al. (2012)</t>
  </si>
  <si>
    <t xml:space="preserve">VVVISAILALVVLTIISLIILIMLW</t>
  </si>
  <si>
    <t xml:space="preserve"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</si>
  <si>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 xml:space="preserve">gi|931571609|ref|XP_014200561.1|</t>
  </si>
  <si>
    <t xml:space="preserve">MRLLGAMPALALKGKLLLLP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</si>
  <si>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 xml:space="preserve">https://www.uniprot.org/uniprot/P09619</t>
  </si>
  <si>
    <t xml:space="preserve">P22607</t>
  </si>
  <si>
    <t xml:space="preserve">PDB:2lzl, Fibroblast growth factor receptor 3, Lesovoy et al. (2013)</t>
  </si>
  <si>
    <t xml:space="preserve">VYAGILSYGVGFFLFILVVAAVTLC</t>
  </si>
  <si>
    <t xml:space="preserve"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</si>
  <si>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 xml:space="preserve">gi|767929032|ref|XP_011511724.1|</t>
  </si>
  <si>
    <t xml:space="preserve"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QEYLDLSAPFEQYSPGGQDTPSSSSSGDDSVFAHDLLPPAPPSSGGSRT</t>
  </si>
  <si>
    <t xml:space="preserve">https://www.uniprot.org/uniprot/P22607</t>
  </si>
  <si>
    <t xml:space="preserve">O15455</t>
  </si>
  <si>
    <t xml:space="preserve">PDB:2mk9, Toll-like receptor 3, Mineev et al. (2014)</t>
  </si>
  <si>
    <t xml:space="preserve">FFMINTSILLIFIFIVLL</t>
  </si>
  <si>
    <t xml:space="preserve"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</si>
  <si>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 xml:space="preserve">gi|525313910|ref|NP_001266163.1|</t>
  </si>
  <si>
    <t xml:space="preserve">MRQTLPCIYFWGGLLPFGMLCASSTTKCTVSHEVADCSHLKLTQVPDDLPTNITVLNLTHNQLRRLPASNFTRYSQLTSLDVGFNTISKLEPELCQKLPMLKVLNLQHNELSQLSDKTFAFCTNLTELHLMSNSIQKIKNNPFVKQKNLITLDLSHNGLSSTKLGTQVQLENLQELLLSNNKIQALKSEELDIFANSSLKKLELSSNQIKEFSPGCFHAIGRLFGLFLNNVQLGPSLTEKLCLELANTSIRNLSLSNSQLSTTSNTTFLGLKWTNLTMLDLSYNNLNVVGNDSFAWLPHLEYFFLDYNNIQHLFSHSLHGLFNVRYLNLKRSFTKQSISLASLPKIDDFSFQWLKCLEHLNMEDNDIPGIKSNMFTGLINLKYLSLSNSFSSLRTLTNETFVSLAHSPLHILNLTKNKISKIESDAFSWLGHLEVLDLGLNEIGQELTGQEWRGLENIFEIYLSYNKYLQLTRNSFALVPSLQRLMLRRVALKNVDSSPSPFQPLRNLTILDLSNNNIANINDDMLEGLEKLEILDLQHNNLARLWKHANPGGPVYFLKGLSHLHILNLESNGFDEIPVEVFKDLFELKIIDLGLNNLNTLPASVFNNQVSLKSLNLQKNLITSVEKKVFGPAFRNLTELDMRFNPFDCTCESIAWFVNWINETHTNIPELSSRYLCNTPPHYHGFPVRLFDTSSCKDSAPFELFFMINTSILLIFIFIVLLIHFQGWRISFYWNVSVHRVLGFKEIDRQTEQFEYAAYIIHAYKDKDWVWEHFSSMEKEDQSLKFCLEERDFEAGVFELEAIVNSIKRSRKIIFVITHHLLKDPVCKRFKVHHAVQQAIEQNLDSIILVFLEEIPDYKLNHALCLRRGMFKSHCILNWPVQKERIGAFRHKLQVALGSKNSVH</t>
  </si>
  <si>
    <t xml:space="preserve">https://www.uniprot.org/uniprot/O15455</t>
  </si>
  <si>
    <t xml:space="preserve">O14763</t>
  </si>
  <si>
    <t xml:space="preserve">PDB:6nhw, Death Receptor 5, Pan et al. (2018)</t>
  </si>
  <si>
    <t xml:space="preserve">SGIIIGVTVAAVVLIVAVFVCKSLL</t>
  </si>
  <si>
    <t xml:space="preserve"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</si>
  <si>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 xml:space="preserve">gi|9285725|ref|NP_003833.4|</t>
  </si>
  <si>
    <t xml:space="preserve">https://www.uniprot.org/uniprot/O14763</t>
  </si>
  <si>
    <t xml:space="preserve">O75460</t>
  </si>
  <si>
    <t xml:space="preserve">IRE1 [O75460] (this study)</t>
  </si>
  <si>
    <t xml:space="preserve">ETRA</t>
  </si>
  <si>
    <t xml:space="preserve">ATIILSTFLLIGWVAFIITY</t>
  </si>
  <si>
    <t xml:space="preserve"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</si>
  <si>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 xml:space="preserve">https://www.uniprot.org/uniprot/O75460</t>
  </si>
  <si>
    <t xml:space="preserve">P05026</t>
  </si>
  <si>
    <t xml:space="preserve">ATP1B1 [P06583] (this study)</t>
  </si>
  <si>
    <t xml:space="preserve">LLFYVIFYGCLAGIFIGTIQVMLLTI</t>
  </si>
  <si>
    <t xml:space="preserve">MARGKAKEEGSWKKFIWNSEKKEFLGRTGGSWFKILLFYVIFYGCLAGIFIGTIQVMLLTISEFKPTYQDRVAPPGLTQIPQIQKTEISFRPNDPKSYEEYVRNIVRFLEKYKDSAQKDEMIFEDCGNMPSEIKERGEFNNERGERKVCRFKLEWLGNCSGINDETYGYRDGKPCVLIKLNRVLGFKPKPPKNESLEAYPVMKYSPYVLPVQCTGKRDEDKDRIGNVEYFGLGGYPGFPLQYYPYYGKLLQPKYLQPLLAVQFTNLTMDTEIRIECKAYGENIGYSEKDRFQGRFDVKIEVKS</t>
  </si>
  <si>
    <t xml:space="preserve">P06583</t>
  </si>
  <si>
    <t xml:space="preserve">https://www.uniprot.org/uniprot/P05026</t>
  </si>
  <si>
    <t xml:space="preserve">P23470</t>
  </si>
  <si>
    <t xml:space="preserve">PTPRG [P23470] (this study)</t>
  </si>
  <si>
    <t xml:space="preserve">IIPLIVVSALTFVCLILLIAVLV</t>
  </si>
  <si>
    <t xml:space="preserve"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</si>
  <si>
    <t xml:space="preserve">https://www.uniprot.org/uniprot/P23470</t>
  </si>
  <si>
    <t xml:space="preserve">P35590</t>
  </si>
  <si>
    <t xml:space="preserve">tie1 [P35590] (this study)</t>
  </si>
  <si>
    <t xml:space="preserve">LILAVVGSVSATCLTILAALLTLV</t>
  </si>
  <si>
    <t xml:space="preserve"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</si>
  <si>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 xml:space="preserve">https://www.uniprot.org/uniprot/P35590</t>
  </si>
  <si>
    <t xml:space="preserve">Q08345</t>
  </si>
  <si>
    <t xml:space="preserve">DDR1 [Q08345] (this study)</t>
  </si>
  <si>
    <t xml:space="preserve">ILIGCLVAIILLLLLIIALML</t>
  </si>
  <si>
    <t xml:space="preserve"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</si>
  <si>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 xml:space="preserve">https://www.uniprot.org/uniprot/Q08345</t>
  </si>
  <si>
    <t xml:space="preserve">Q16827</t>
  </si>
  <si>
    <t xml:space="preserve">PTPRO [Q16827] (this study)</t>
  </si>
  <si>
    <t xml:space="preserve">VVVISVLAILSTLLIGLLLVTLIIL</t>
  </si>
  <si>
    <t xml:space="preserve">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</t>
  </si>
  <si>
    <t xml:space="preserve">https://www.uniprot.org/uniprot/Q16827</t>
  </si>
  <si>
    <t xml:space="preserve">Q7L4S7</t>
  </si>
  <si>
    <t xml:space="preserve">ARMCX6 [Q7L4S7] (this study)</t>
  </si>
  <si>
    <t xml:space="preserve">REVGWMAAGLMIGAGACYCV</t>
  </si>
  <si>
    <t xml:space="preserve">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</t>
  </si>
  <si>
    <t xml:space="preserve">https://www.uniprot.org/uniprot/Q7L4S7</t>
  </si>
  <si>
    <t xml:space="preserve">Q92729</t>
  </si>
  <si>
    <t xml:space="preserve">PTPRU [Q92729] (this study)</t>
  </si>
  <si>
    <t xml:space="preserve">LILGICAGGLAVLILLLGAIIVII</t>
  </si>
  <si>
    <t xml:space="preserve"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</si>
  <si>
    <t xml:space="preserve">https://www.uniprot.org/uniprot/Q92729</t>
  </si>
  <si>
    <t xml:space="preserve">Q9Y286</t>
  </si>
  <si>
    <t xml:space="preserve">siglec7 [Q9Y286] (this study)</t>
  </si>
  <si>
    <t xml:space="preserve">VLLGAVGGAGATALVFLSFC</t>
  </si>
  <si>
    <t xml:space="preserve"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</si>
  <si>
    <t xml:space="preserve">https://www.uniprot.org/uniprot/Q9Y286</t>
  </si>
  <si>
    <t xml:space="preserve">P02724</t>
  </si>
  <si>
    <t xml:space="preserve">GpA [P02724] (Elazar et al. 2016)</t>
  </si>
  <si>
    <t xml:space="preserve">LIIFGVMAGVIGTIL</t>
  </si>
  <si>
    <t xml:space="preserve">MYGKIIFVLLLSEIVSISASSTTGVAMHTSTSSSVTKSYISSQTNDTHKRDTYAATPRAHEVSEISVRTVYPPEEETGERVQLAHHFSEPEITLIIFGVMAGVIGTILLISYGIRRLIKKSPSDVKPLPSPDTDVPLSSVEIENPETSDQ</t>
  </si>
  <si>
    <t xml:space="preserve">https://www.uniprot.org/uniprot/P02724</t>
  </si>
  <si>
    <t xml:space="preserve">P04626</t>
  </si>
  <si>
    <t xml:space="preserve">ErbB2 [P04626] (Elazar et al. 2016)</t>
  </si>
  <si>
    <t xml:space="preserve">LTSIISAVVGILLVVVLGVVFGIL</t>
  </si>
  <si>
    <t xml:space="preserve"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</si>
  <si>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 xml:space="preserve">https://www.uniprot.org/uniprot/P04626</t>
  </si>
  <si>
    <t xml:space="preserve">P05106</t>
  </si>
  <si>
    <t xml:space="preserve">ITGB3 [P05106] (Zhu et al. 2010)</t>
  </si>
  <si>
    <t xml:space="preserve">VLLSVMGAILLIGLAALLI</t>
  </si>
  <si>
    <t xml:space="preserve"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</si>
  <si>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 xml:space="preserve">https://www.uniprot.org/uniprot/P05106</t>
  </si>
  <si>
    <t xml:space="preserve">P08514</t>
  </si>
  <si>
    <t xml:space="preserve">ITGA2B [P08514] (Li  et al. 2004)</t>
  </si>
  <si>
    <t xml:space="preserve">WVLVGVLGGLLLLTILVLAMW</t>
  </si>
  <si>
    <t xml:space="preserve"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</si>
  <si>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 xml:space="preserve">https://www.uniprot.org/uniprot/P08514</t>
  </si>
  <si>
    <t xml:space="preserve">P0A6S5</t>
  </si>
  <si>
    <t xml:space="preserve">FtsB [P0A6S5] (LaPointe et al. 2013)</t>
  </si>
  <si>
    <t xml:space="preserve">Escherichia coli (strain K12)</t>
  </si>
  <si>
    <t xml:space="preserve">TLLLLAILVWLQYSLWF</t>
  </si>
  <si>
    <t xml:space="preserve">MGKLTLLLLAILVWLQYSLWFGKNGIHDYTRVNDDVAAQQATNAKLKARNDQLFAEIDDLNGGQEALEERARNELSMTRPGETFYRLVPDASKRAQSAGQNNR</t>
  </si>
  <si>
    <t xml:space="preserve">https://www.uniprot.org/uniprot/P0A6S5</t>
  </si>
  <si>
    <t xml:space="preserve">P13224</t>
  </si>
  <si>
    <t xml:space="preserve">GP1BB [P13224] (Wei et al. 2011)</t>
  </si>
  <si>
    <t xml:space="preserve">GALAAQLALLGLGLLHALLL</t>
  </si>
  <si>
    <t xml:space="preserve">MGSGPRGALSLLLLLLAPPSRPAAGCPAPCSCAGTLVDCGRRGLTWASLPTAFPVDTTELVLTGNNLTALPPGLLDALPALRTAHLGANPWRCDCRLVPLRAWLAGRPERAPYRDLRCVAPPALRGRLLPYLAEDELRAACAPGPLCWGALAAQLALLGLGLLHALLLVLLLCRLRRLRARARARAAARLSLTDPLVAERAGTDES</t>
  </si>
  <si>
    <t xml:space="preserve">https://www.uniprot.org/uniprot/P13224</t>
  </si>
  <si>
    <t xml:space="preserve">P25189</t>
  </si>
  <si>
    <t xml:space="preserve">MPZ [P25189] (Plotkowski et al. 2007)</t>
  </si>
  <si>
    <t xml:space="preserve">YGVVLGAVIGGVLGVVLLLLLLFYVV</t>
  </si>
  <si>
    <t xml:space="preserve">MAPGAPSSSPSPILAVLLFSSLVLSPAQAIVVYTDREVHGAVGSRVTLHCSFWSSEWVSDDISFTWRYQPEGGRDAISIFHYAKGQPYIDEVGTFKERIQWVGDPRWKDGSIVIHNLDYSDNGTFTCDVKNPPDIVGKTSQVTLYVFEKVPTRYGVVLGAVIGGVLGVVLLLLLLFYVVRYCWLRRQAALQRRLSAMEKGKLHKPGKDASKRGRQTPVLYAMLDHSRSTKAVSEKKAKGLGESRKDKK</t>
  </si>
  <si>
    <t xml:space="preserve">https://www.uniprot.org/uniprot/P25189</t>
  </si>
  <si>
    <t xml:space="preserve">Q12913</t>
  </si>
  <si>
    <t xml:space="preserve">PTPRJ [Q12913] (Chin et al. 2005)</t>
  </si>
  <si>
    <t xml:space="preserve">ICGAVFGCIFGALVIVTVGG</t>
  </si>
  <si>
    <t xml:space="preserve"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</si>
  <si>
    <t xml:space="preserve">https://www.uniprot.org/uniprot/Q12913</t>
  </si>
  <si>
    <t xml:space="preserve">Q12983</t>
  </si>
  <si>
    <t xml:space="preserve">BNIP3 [Q12983] (Lawrie et al. 2009)</t>
  </si>
  <si>
    <t xml:space="preserve">LLSHLLAIGLGIYIG</t>
  </si>
  <si>
    <t xml:space="preserve">MGDAAADPPGPALPCEFLRPGCGAPLSPGAQLGRGAPTSAFPPPAAEAHPAARRGLRSPQLPSGAMSQNGAPGMQEESLQGSWVELHFSNNGNGGSVPASVSIYNGDMEKILLDAQHESGRSSSKSSHCDSPPRSQTPQDTNRASETDTHSIGEKNSSQSEEDDIERRKEVESILKKNSDWIWDWSSRPENIPPKEFLFKHPKRTATLSMRNTSVMKKGGIFSAEFLKVFLPSLLLSHLLAIGLGIYIGRRLTTSTSTF</t>
  </si>
  <si>
    <t xml:space="preserve">https://www.uniprot.org/uniprot/Q12983</t>
  </si>
  <si>
    <t xml:space="preserve">literature</t>
  </si>
  <si>
    <t xml:space="preserve">Q6ZRP7</t>
  </si>
  <si>
    <t xml:space="preserve">QSOX2 [Q6ZRP7] (Ried et al. 2016)</t>
  </si>
  <si>
    <t xml:space="preserve">CVVLYVASSLFLMVMY</t>
  </si>
  <si>
    <t xml:space="preserve">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</t>
  </si>
  <si>
    <t xml:space="preserve">https://www.uniprot.org/uniprot/Q6ZRP7</t>
  </si>
  <si>
    <t xml:space="preserve">TOPCONS</t>
  </si>
  <si>
    <t xml:space="preserve">Q8NI60</t>
  </si>
  <si>
    <t xml:space="preserve">ADCK3 [Q8NI60] (Khadria et al. 2014)</t>
  </si>
  <si>
    <t xml:space="preserve">LANFGGLAVGLGFGALA</t>
  </si>
  <si>
    <t xml:space="preserve"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</si>
  <si>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 xml:space="preserve">https://www.uniprot.org/uniprot/Q8NI60</t>
  </si>
  <si>
    <t xml:space="preserve">None</t>
  </si>
  <si>
    <t xml:space="preserve">Q99IB8</t>
  </si>
  <si>
    <t xml:space="preserve">NS4A [D6PM24] (Kohlway et al. 2014)</t>
  </si>
  <si>
    <t xml:space="preserve">Hepatitis C virus genotype 2a (isolate JFH-1) (HCV)</t>
  </si>
  <si>
    <t xml:space="preserve">TWVLAGGVLAAVAAYCLAT</t>
  </si>
  <si>
    <t xml:space="preserve"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</si>
  <si>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 xml:space="preserve">https://www.uniprot.org/uniprot/Q99IB8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</si>
</sst>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198A8A"/>
      <name val="Calibri"/>
      <family val="2"/>
      <charset val="1"/>
    </font>
    <font>
      <sz val="11"/>
      <color rgb="FF0066CC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98A8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RowHeight="12.85" zeroHeight="false" outlineLevelRow="0" outlineLevelCol="0"/>
  <cols>
    <col collapsed="false" customWidth="false" hidden="false" outlineLevel="0" max="1025" min="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customFormat="false" ht="13.8" hidden="false" customHeight="false" outlineLevel="0" collapsed="false">
      <c r="A2" s="1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21</v>
      </c>
      <c r="I2" s="5" t="s">
        <v>23</v>
      </c>
      <c r="J2" s="6" t="s">
        <v>24</v>
      </c>
      <c r="K2" s="6" t="s">
        <v>25</v>
      </c>
      <c r="L2" s="5" t="n">
        <v>4</v>
      </c>
      <c r="M2" s="7" t="n">
        <f aca="false">TRUE()</f>
        <v>1</v>
      </c>
      <c r="N2" s="7" t="s">
        <v>26</v>
      </c>
      <c r="O2" s="7"/>
      <c r="P2" s="8" t="s">
        <v>27</v>
      </c>
    </row>
    <row r="3" customFormat="false" ht="13.8" hidden="false" customHeight="false" outlineLevel="0" collapsed="false">
      <c r="A3" s="1" t="s">
        <v>28</v>
      </c>
      <c r="B3" s="3" t="s">
        <v>29</v>
      </c>
      <c r="C3" s="4" t="s">
        <v>30</v>
      </c>
      <c r="D3" s="5" t="s">
        <v>19</v>
      </c>
      <c r="E3" s="5" t="s">
        <v>31</v>
      </c>
      <c r="F3" s="5" t="s">
        <v>32</v>
      </c>
      <c r="G3" s="5" t="s">
        <v>33</v>
      </c>
      <c r="H3" s="5" t="s">
        <v>32</v>
      </c>
      <c r="I3" s="5" t="s">
        <v>34</v>
      </c>
      <c r="J3" s="6" t="s">
        <v>35</v>
      </c>
      <c r="K3" s="6" t="s">
        <v>36</v>
      </c>
      <c r="L3" s="5" t="n">
        <v>2</v>
      </c>
      <c r="M3" s="9" t="n">
        <f aca="false">TRUE()</f>
        <v>1</v>
      </c>
      <c r="N3" s="7" t="s">
        <v>26</v>
      </c>
      <c r="O3" s="7"/>
      <c r="P3" s="8" t="s">
        <v>37</v>
      </c>
    </row>
    <row r="4" customFormat="false" ht="13.8" hidden="false" customHeight="false" outlineLevel="0" collapsed="false">
      <c r="A4" s="1" t="s">
        <v>38</v>
      </c>
      <c r="B4" s="3" t="s">
        <v>39</v>
      </c>
      <c r="C4" s="3" t="s">
        <v>40</v>
      </c>
      <c r="D4" s="5" t="s">
        <v>19</v>
      </c>
      <c r="E4" s="5" t="s">
        <v>41</v>
      </c>
      <c r="F4" s="5" t="s">
        <v>42</v>
      </c>
      <c r="G4" s="5" t="s">
        <v>43</v>
      </c>
      <c r="H4" s="5" t="s">
        <v>42</v>
      </c>
      <c r="I4" s="5" t="s">
        <v>44</v>
      </c>
      <c r="J4" s="6" t="s">
        <v>45</v>
      </c>
      <c r="K4" s="6" t="s">
        <v>46</v>
      </c>
      <c r="L4" s="5" t="n">
        <v>2</v>
      </c>
      <c r="M4" s="7" t="n">
        <f aca="false">TRUE()</f>
        <v>1</v>
      </c>
      <c r="N4" s="7" t="s">
        <v>26</v>
      </c>
      <c r="O4" s="7"/>
      <c r="P4" s="8" t="s">
        <v>47</v>
      </c>
    </row>
    <row r="5" customFormat="false" ht="13.8" hidden="false" customHeight="false" outlineLevel="0" collapsed="false">
      <c r="A5" s="1" t="s">
        <v>48</v>
      </c>
      <c r="B5" s="3" t="s">
        <v>49</v>
      </c>
      <c r="C5" s="4" t="s">
        <v>50</v>
      </c>
      <c r="D5" s="5" t="s">
        <v>19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6" t="s">
        <v>56</v>
      </c>
      <c r="K5" s="6" t="s">
        <v>57</v>
      </c>
      <c r="L5" s="5" t="n">
        <v>3</v>
      </c>
      <c r="M5" s="10" t="n">
        <f aca="false">FALSE()</f>
        <v>0</v>
      </c>
      <c r="N5" s="7" t="s">
        <v>26</v>
      </c>
      <c r="O5" s="7"/>
      <c r="P5" s="8" t="s">
        <v>58</v>
      </c>
    </row>
    <row r="6" customFormat="false" ht="13.8" hidden="false" customHeight="false" outlineLevel="0" collapsed="false">
      <c r="A6" s="1" t="s">
        <v>59</v>
      </c>
      <c r="B6" s="3" t="s">
        <v>60</v>
      </c>
      <c r="C6" s="4" t="s">
        <v>61</v>
      </c>
      <c r="D6" s="5" t="s">
        <v>19</v>
      </c>
      <c r="E6" s="5" t="s">
        <v>62</v>
      </c>
      <c r="F6" s="5" t="s">
        <v>63</v>
      </c>
      <c r="G6" s="5" t="s">
        <v>64</v>
      </c>
      <c r="H6" s="5" t="s">
        <v>65</v>
      </c>
      <c r="I6" s="5" t="s">
        <v>66</v>
      </c>
      <c r="J6" s="6" t="s">
        <v>67</v>
      </c>
      <c r="K6" s="6" t="s">
        <v>68</v>
      </c>
      <c r="L6" s="5" t="n">
        <v>8</v>
      </c>
      <c r="M6" s="11" t="n">
        <f aca="false">FALSE()</f>
        <v>0</v>
      </c>
      <c r="N6" s="7" t="s">
        <v>26</v>
      </c>
      <c r="O6" s="7" t="n">
        <f aca="false">TRUE()</f>
        <v>1</v>
      </c>
      <c r="P6" s="8" t="s">
        <v>69</v>
      </c>
    </row>
    <row r="7" customFormat="false" ht="13.8" hidden="false" customHeight="false" outlineLevel="0" collapsed="false">
      <c r="A7" s="1" t="s">
        <v>70</v>
      </c>
      <c r="B7" s="3" t="s">
        <v>71</v>
      </c>
      <c r="C7" s="4" t="s">
        <v>72</v>
      </c>
      <c r="D7" s="5" t="s">
        <v>19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6" t="s">
        <v>78</v>
      </c>
      <c r="K7" s="6" t="s">
        <v>79</v>
      </c>
      <c r="L7" s="5" t="n">
        <v>6</v>
      </c>
      <c r="M7" s="9" t="n">
        <f aca="false">TRUE()</f>
        <v>1</v>
      </c>
      <c r="N7" s="7" t="s">
        <v>26</v>
      </c>
      <c r="O7" s="7"/>
      <c r="P7" s="8" t="s">
        <v>80</v>
      </c>
    </row>
    <row r="8" customFormat="false" ht="13.8" hidden="false" customHeight="false" outlineLevel="0" collapsed="false">
      <c r="A8" s="1" t="s">
        <v>81</v>
      </c>
      <c r="B8" s="3" t="s">
        <v>82</v>
      </c>
      <c r="C8" s="3" t="s">
        <v>83</v>
      </c>
      <c r="D8" s="5" t="s">
        <v>19</v>
      </c>
      <c r="E8" s="5" t="s">
        <v>84</v>
      </c>
      <c r="F8" s="5" t="s">
        <v>85</v>
      </c>
      <c r="G8" s="5" t="s">
        <v>86</v>
      </c>
      <c r="H8" s="5" t="s">
        <v>87</v>
      </c>
      <c r="I8" s="5" t="s">
        <v>88</v>
      </c>
      <c r="J8" s="6" t="s">
        <v>89</v>
      </c>
      <c r="K8" s="6" t="s">
        <v>90</v>
      </c>
      <c r="L8" s="5" t="n">
        <v>5</v>
      </c>
      <c r="M8" s="11" t="n">
        <f aca="false">FALSE()</f>
        <v>0</v>
      </c>
      <c r="N8" s="7" t="s">
        <v>26</v>
      </c>
      <c r="O8" s="7"/>
      <c r="P8" s="8" t="s">
        <v>91</v>
      </c>
    </row>
    <row r="9" customFormat="false" ht="13.8" hidden="false" customHeight="false" outlineLevel="0" collapsed="false">
      <c r="A9" s="1" t="s">
        <v>92</v>
      </c>
      <c r="B9" s="3" t="s">
        <v>93</v>
      </c>
      <c r="C9" s="4" t="s">
        <v>94</v>
      </c>
      <c r="D9" s="5" t="s">
        <v>19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99</v>
      </c>
      <c r="J9" s="6" t="s">
        <v>100</v>
      </c>
      <c r="K9" s="6" t="s">
        <v>101</v>
      </c>
      <c r="L9" s="5" t="n">
        <v>4</v>
      </c>
      <c r="M9" s="9" t="n">
        <f aca="false">TRUE()</f>
        <v>1</v>
      </c>
      <c r="N9" s="7" t="s">
        <v>26</v>
      </c>
      <c r="O9" s="7"/>
      <c r="P9" s="8" t="s">
        <v>102</v>
      </c>
    </row>
    <row r="10" customFormat="false" ht="13.8" hidden="false" customHeight="false" outlineLevel="0" collapsed="false">
      <c r="A10" s="1" t="s">
        <v>103</v>
      </c>
      <c r="B10" s="3" t="s">
        <v>104</v>
      </c>
      <c r="C10" s="4" t="s">
        <v>105</v>
      </c>
      <c r="D10" s="5" t="s">
        <v>19</v>
      </c>
      <c r="E10" s="5" t="s">
        <v>106</v>
      </c>
      <c r="F10" s="5" t="s">
        <v>107</v>
      </c>
      <c r="G10" s="5" t="s">
        <v>108</v>
      </c>
      <c r="H10" s="5" t="s">
        <v>109</v>
      </c>
      <c r="I10" s="5" t="s">
        <v>110</v>
      </c>
      <c r="J10" s="6" t="s">
        <v>111</v>
      </c>
      <c r="K10" s="6" t="s">
        <v>112</v>
      </c>
      <c r="L10" s="5" t="n">
        <v>12</v>
      </c>
      <c r="M10" s="9" t="n">
        <f aca="false">TRUE()</f>
        <v>1</v>
      </c>
      <c r="N10" s="7" t="s">
        <v>26</v>
      </c>
      <c r="O10" s="7" t="n">
        <f aca="false">TRUE()</f>
        <v>1</v>
      </c>
      <c r="P10" s="8" t="s">
        <v>113</v>
      </c>
    </row>
    <row r="11" customFormat="false" ht="13.8" hidden="false" customHeight="false" outlineLevel="0" collapsed="false">
      <c r="A11" s="1" t="s">
        <v>114</v>
      </c>
      <c r="B11" s="3" t="s">
        <v>115</v>
      </c>
      <c r="C11" s="4" t="s">
        <v>116</v>
      </c>
      <c r="D11" s="5" t="s">
        <v>19</v>
      </c>
      <c r="E11" s="5" t="s">
        <v>117</v>
      </c>
      <c r="F11" s="5" t="s">
        <v>118</v>
      </c>
      <c r="G11" s="5" t="s">
        <v>119</v>
      </c>
      <c r="H11" s="5" t="s">
        <v>118</v>
      </c>
      <c r="I11" s="5" t="s">
        <v>120</v>
      </c>
      <c r="J11" s="6" t="s">
        <v>121</v>
      </c>
      <c r="K11" s="6" t="s">
        <v>122</v>
      </c>
      <c r="L11" s="5" t="n">
        <v>6</v>
      </c>
      <c r="M11" s="11" t="n">
        <f aca="false">FALSE()</f>
        <v>0</v>
      </c>
      <c r="N11" s="7" t="s">
        <v>26</v>
      </c>
      <c r="O11" s="7"/>
      <c r="P11" s="8" t="s">
        <v>123</v>
      </c>
    </row>
    <row r="12" customFormat="false" ht="13.8" hidden="false" customHeight="false" outlineLevel="0" collapsed="false">
      <c r="A12" s="1" t="s">
        <v>124</v>
      </c>
      <c r="B12" s="3" t="s">
        <v>125</v>
      </c>
      <c r="C12" s="4" t="s">
        <v>126</v>
      </c>
      <c r="D12" s="5" t="s">
        <v>19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6" t="s">
        <v>132</v>
      </c>
      <c r="K12" s="6" t="s">
        <v>133</v>
      </c>
      <c r="L12" s="5" t="n">
        <v>5</v>
      </c>
      <c r="M12" s="11" t="n">
        <f aca="false">FALSE()</f>
        <v>0</v>
      </c>
      <c r="N12" s="7" t="s">
        <v>26</v>
      </c>
      <c r="O12" s="7"/>
      <c r="P12" s="8" t="s">
        <v>134</v>
      </c>
    </row>
    <row r="13" customFormat="false" ht="13.8" hidden="false" customHeight="false" outlineLevel="0" collapsed="false">
      <c r="A13" s="1" t="s">
        <v>135</v>
      </c>
      <c r="B13" s="3" t="s">
        <v>136</v>
      </c>
      <c r="C13" s="3" t="s">
        <v>137</v>
      </c>
      <c r="D13" s="5" t="s">
        <v>19</v>
      </c>
      <c r="E13" s="5" t="s">
        <v>138</v>
      </c>
      <c r="F13" s="5" t="s">
        <v>139</v>
      </c>
      <c r="G13" s="5" t="s">
        <v>140</v>
      </c>
      <c r="H13" s="5" t="s">
        <v>141</v>
      </c>
      <c r="I13" s="5" t="s">
        <v>142</v>
      </c>
      <c r="J13" s="6" t="s">
        <v>143</v>
      </c>
      <c r="K13" s="6" t="s">
        <v>144</v>
      </c>
      <c r="L13" s="5" t="n">
        <v>2</v>
      </c>
      <c r="M13" s="9" t="n">
        <f aca="false">TRUE()</f>
        <v>1</v>
      </c>
      <c r="N13" s="7" t="s">
        <v>26</v>
      </c>
      <c r="O13" s="7"/>
      <c r="P13" s="8" t="s">
        <v>145</v>
      </c>
    </row>
    <row r="14" customFormat="false" ht="13.8" hidden="false" customHeight="false" outlineLevel="0" collapsed="false">
      <c r="A14" s="1" t="s">
        <v>146</v>
      </c>
      <c r="B14" s="3" t="s">
        <v>147</v>
      </c>
      <c r="C14" s="4" t="s">
        <v>148</v>
      </c>
      <c r="D14" s="5" t="s">
        <v>19</v>
      </c>
      <c r="E14" s="5" t="s">
        <v>149</v>
      </c>
      <c r="F14" s="5" t="s">
        <v>150</v>
      </c>
      <c r="G14" s="5" t="s">
        <v>151</v>
      </c>
      <c r="H14" s="5" t="s">
        <v>152</v>
      </c>
      <c r="I14" s="5" t="s">
        <v>153</v>
      </c>
      <c r="J14" s="6" t="s">
        <v>154</v>
      </c>
      <c r="K14" s="6" t="s">
        <v>155</v>
      </c>
      <c r="L14" s="5" t="n">
        <v>2</v>
      </c>
      <c r="M14" s="11" t="n">
        <f aca="false">FALSE()</f>
        <v>0</v>
      </c>
      <c r="N14" s="7" t="s">
        <v>26</v>
      </c>
      <c r="O14" s="7"/>
      <c r="P14" s="8" t="s">
        <v>156</v>
      </c>
    </row>
    <row r="15" customFormat="false" ht="13.8" hidden="false" customHeight="false" outlineLevel="0" collapsed="false">
      <c r="A15" s="1" t="s">
        <v>157</v>
      </c>
      <c r="B15" s="3" t="s">
        <v>158</v>
      </c>
      <c r="C15" s="4" t="s">
        <v>159</v>
      </c>
      <c r="D15" s="5" t="s">
        <v>19</v>
      </c>
      <c r="E15" s="5" t="s">
        <v>160</v>
      </c>
      <c r="F15" s="5" t="s">
        <v>161</v>
      </c>
      <c r="G15" s="5" t="s">
        <v>162</v>
      </c>
      <c r="H15" s="5" t="s">
        <v>163</v>
      </c>
      <c r="I15" s="5" t="s">
        <v>164</v>
      </c>
      <c r="J15" s="6" t="s">
        <v>165</v>
      </c>
      <c r="K15" s="6" t="s">
        <v>166</v>
      </c>
      <c r="L15" s="5" t="n">
        <v>2</v>
      </c>
      <c r="M15" s="11" t="n">
        <f aca="false">FALSE()</f>
        <v>0</v>
      </c>
      <c r="N15" s="7" t="s">
        <v>26</v>
      </c>
      <c r="O15" s="7" t="n">
        <f aca="false">TRUE()</f>
        <v>1</v>
      </c>
      <c r="P15" s="8" t="s">
        <v>156</v>
      </c>
    </row>
    <row r="16" customFormat="false" ht="13.8" hidden="false" customHeight="false" outlineLevel="0" collapsed="false">
      <c r="A16" s="1" t="s">
        <v>167</v>
      </c>
      <c r="B16" s="3" t="s">
        <v>168</v>
      </c>
      <c r="C16" s="4" t="s">
        <v>169</v>
      </c>
      <c r="D16" s="5" t="s">
        <v>19</v>
      </c>
      <c r="E16" s="5" t="s">
        <v>170</v>
      </c>
      <c r="F16" s="5" t="s">
        <v>171</v>
      </c>
      <c r="G16" s="5" t="s">
        <v>172</v>
      </c>
      <c r="H16" s="5" t="s">
        <v>171</v>
      </c>
      <c r="I16" s="5" t="s">
        <v>173</v>
      </c>
      <c r="J16" s="6" t="s">
        <v>174</v>
      </c>
      <c r="K16" s="6" t="s">
        <v>175</v>
      </c>
      <c r="L16" s="5" t="n">
        <v>2</v>
      </c>
      <c r="M16" s="11" t="n">
        <f aca="false">FALSE()</f>
        <v>0</v>
      </c>
      <c r="N16" s="7" t="s">
        <v>26</v>
      </c>
      <c r="O16" s="7"/>
      <c r="P16" s="8" t="s">
        <v>176</v>
      </c>
    </row>
    <row r="17" customFormat="false" ht="13.8" hidden="false" customHeight="false" outlineLevel="0" collapsed="false">
      <c r="A17" s="1" t="s">
        <v>177</v>
      </c>
      <c r="B17" s="3" t="s">
        <v>178</v>
      </c>
      <c r="C17" s="4" t="s">
        <v>50</v>
      </c>
      <c r="D17" s="5" t="s">
        <v>19</v>
      </c>
      <c r="E17" s="5" t="s">
        <v>179</v>
      </c>
      <c r="F17" s="5" t="s">
        <v>180</v>
      </c>
      <c r="G17" s="5" t="s">
        <v>181</v>
      </c>
      <c r="H17" s="5" t="s">
        <v>182</v>
      </c>
      <c r="I17" s="5" t="s">
        <v>183</v>
      </c>
      <c r="J17" s="6" t="s">
        <v>184</v>
      </c>
      <c r="K17" s="6" t="s">
        <v>185</v>
      </c>
      <c r="L17" s="5" t="n">
        <v>4</v>
      </c>
      <c r="M17" s="9" t="n">
        <f aca="false">TRUE()</f>
        <v>1</v>
      </c>
      <c r="N17" s="7" t="s">
        <v>26</v>
      </c>
      <c r="O17" s="7"/>
      <c r="P17" s="8" t="s">
        <v>186</v>
      </c>
    </row>
    <row r="18" customFormat="false" ht="13.8" hidden="false" customHeight="false" outlineLevel="0" collapsed="false">
      <c r="A18" s="1" t="s">
        <v>187</v>
      </c>
      <c r="B18" s="3" t="s">
        <v>188</v>
      </c>
      <c r="C18" s="4" t="s">
        <v>189</v>
      </c>
      <c r="D18" s="5" t="s">
        <v>19</v>
      </c>
      <c r="E18" s="5" t="s">
        <v>190</v>
      </c>
      <c r="F18" s="5" t="s">
        <v>191</v>
      </c>
      <c r="G18" s="5" t="s">
        <v>192</v>
      </c>
      <c r="H18" s="5" t="s">
        <v>193</v>
      </c>
      <c r="I18" s="5" t="s">
        <v>194</v>
      </c>
      <c r="J18" s="6" t="s">
        <v>195</v>
      </c>
      <c r="K18" s="6" t="s">
        <v>196</v>
      </c>
      <c r="L18" s="5" t="n">
        <v>2</v>
      </c>
      <c r="M18" s="11" t="n">
        <f aca="false">FALSE()</f>
        <v>0</v>
      </c>
      <c r="N18" s="7" t="s">
        <v>26</v>
      </c>
      <c r="O18" s="7" t="n">
        <f aca="false">TRUE()</f>
        <v>1</v>
      </c>
      <c r="P18" s="8" t="s">
        <v>197</v>
      </c>
    </row>
    <row r="19" customFormat="false" ht="13.8" hidden="false" customHeight="false" outlineLevel="0" collapsed="false">
      <c r="A19" s="1" t="s">
        <v>198</v>
      </c>
      <c r="B19" s="3" t="s">
        <v>199</v>
      </c>
      <c r="C19" s="4" t="s">
        <v>189</v>
      </c>
      <c r="D19" s="5" t="s">
        <v>19</v>
      </c>
      <c r="E19" s="5" t="s">
        <v>200</v>
      </c>
      <c r="F19" s="5" t="s">
        <v>191</v>
      </c>
      <c r="G19" s="5" t="s">
        <v>192</v>
      </c>
      <c r="H19" s="5" t="s">
        <v>193</v>
      </c>
      <c r="I19" s="5" t="s">
        <v>201</v>
      </c>
      <c r="J19" s="6" t="s">
        <v>195</v>
      </c>
      <c r="K19" s="6" t="s">
        <v>202</v>
      </c>
      <c r="L19" s="5" t="n">
        <v>2</v>
      </c>
      <c r="M19" s="11" t="n">
        <f aca="false">FALSE()</f>
        <v>0</v>
      </c>
      <c r="N19" s="7" t="s">
        <v>26</v>
      </c>
      <c r="O19" s="7"/>
      <c r="P19" s="8" t="s">
        <v>203</v>
      </c>
    </row>
    <row r="20" customFormat="false" ht="13.8" hidden="false" customHeight="false" outlineLevel="0" collapsed="false">
      <c r="A20" s="1" t="s">
        <v>204</v>
      </c>
      <c r="B20" s="3" t="s">
        <v>205</v>
      </c>
      <c r="C20" s="4" t="s">
        <v>206</v>
      </c>
      <c r="D20" s="5" t="s">
        <v>19</v>
      </c>
      <c r="E20" s="5" t="s">
        <v>207</v>
      </c>
      <c r="F20" s="5" t="s">
        <v>208</v>
      </c>
      <c r="G20" s="5" t="s">
        <v>209</v>
      </c>
      <c r="H20" s="5" t="s">
        <v>210</v>
      </c>
      <c r="I20" s="5" t="s">
        <v>211</v>
      </c>
      <c r="J20" s="6" t="s">
        <v>212</v>
      </c>
      <c r="K20" s="6" t="s">
        <v>213</v>
      </c>
      <c r="L20" s="5" t="n">
        <v>4</v>
      </c>
      <c r="M20" s="9" t="n">
        <f aca="false">TRUE()</f>
        <v>1</v>
      </c>
      <c r="N20" s="7" t="s">
        <v>26</v>
      </c>
      <c r="O20" s="7"/>
      <c r="P20" s="8" t="s">
        <v>214</v>
      </c>
    </row>
    <row r="21" customFormat="false" ht="13.8" hidden="false" customHeight="false" outlineLevel="0" collapsed="false">
      <c r="A21" s="1" t="s">
        <v>215</v>
      </c>
      <c r="B21" s="3" t="s">
        <v>216</v>
      </c>
      <c r="C21" s="4" t="s">
        <v>206</v>
      </c>
      <c r="D21" s="5" t="s">
        <v>19</v>
      </c>
      <c r="E21" s="5" t="s">
        <v>217</v>
      </c>
      <c r="F21" s="5" t="s">
        <v>218</v>
      </c>
      <c r="G21" s="5" t="s">
        <v>219</v>
      </c>
      <c r="H21" s="5" t="s">
        <v>220</v>
      </c>
      <c r="I21" s="5" t="s">
        <v>221</v>
      </c>
      <c r="J21" s="6" t="s">
        <v>222</v>
      </c>
      <c r="K21" s="6" t="s">
        <v>223</v>
      </c>
      <c r="L21" s="5" t="n">
        <v>4</v>
      </c>
      <c r="M21" s="9" t="n">
        <f aca="false">TRUE()</f>
        <v>1</v>
      </c>
      <c r="N21" s="7" t="s">
        <v>26</v>
      </c>
      <c r="O21" s="7"/>
      <c r="P21" s="8" t="s">
        <v>224</v>
      </c>
    </row>
    <row r="22" customFormat="false" ht="13.8" hidden="false" customHeight="false" outlineLevel="0" collapsed="false">
      <c r="A22" s="1" t="s">
        <v>225</v>
      </c>
      <c r="B22" s="3" t="s">
        <v>226</v>
      </c>
      <c r="C22" s="4" t="s">
        <v>227</v>
      </c>
      <c r="D22" s="5" t="s">
        <v>19</v>
      </c>
      <c r="E22" s="5" t="s">
        <v>228</v>
      </c>
      <c r="F22" s="5" t="s">
        <v>229</v>
      </c>
      <c r="G22" s="5" t="s">
        <v>230</v>
      </c>
      <c r="H22" s="5" t="s">
        <v>229</v>
      </c>
      <c r="I22" s="5" t="s">
        <v>231</v>
      </c>
      <c r="J22" s="6" t="s">
        <v>232</v>
      </c>
      <c r="K22" s="6" t="s">
        <v>233</v>
      </c>
      <c r="L22" s="5" t="n">
        <v>2</v>
      </c>
      <c r="M22" s="9" t="n">
        <f aca="false">TRUE()</f>
        <v>1</v>
      </c>
      <c r="N22" s="7" t="s">
        <v>26</v>
      </c>
      <c r="O22" s="7"/>
      <c r="P22" s="8" t="s">
        <v>234</v>
      </c>
    </row>
    <row r="23" customFormat="false" ht="13.8" hidden="false" customHeight="false" outlineLevel="0" collapsed="false">
      <c r="A23" s="1" t="s">
        <v>235</v>
      </c>
      <c r="B23" s="5" t="s">
        <v>236</v>
      </c>
      <c r="C23" s="4" t="s">
        <v>237</v>
      </c>
      <c r="D23" s="5" t="s">
        <v>238</v>
      </c>
      <c r="E23" s="5" t="s">
        <v>239</v>
      </c>
      <c r="F23" s="5" t="s">
        <v>240</v>
      </c>
      <c r="G23" s="5" t="s">
        <v>241</v>
      </c>
      <c r="H23" s="5" t="s">
        <v>242</v>
      </c>
      <c r="I23" s="5" t="s">
        <v>235</v>
      </c>
      <c r="J23" s="6"/>
      <c r="K23" s="6" t="s">
        <v>243</v>
      </c>
      <c r="L23" s="5" t="n">
        <v>2</v>
      </c>
      <c r="M23" s="7" t="n">
        <f aca="false">TRUE()</f>
        <v>1</v>
      </c>
      <c r="N23" s="7" t="s">
        <v>244</v>
      </c>
      <c r="O23" s="7" t="n">
        <f aca="false">TRUE()</f>
        <v>1</v>
      </c>
      <c r="P23" s="8"/>
    </row>
    <row r="24" customFormat="false" ht="13.8" hidden="false" customHeight="false" outlineLevel="0" collapsed="false">
      <c r="A24" s="1" t="s">
        <v>245</v>
      </c>
      <c r="B24" s="5" t="s">
        <v>246</v>
      </c>
      <c r="C24" s="4" t="s">
        <v>237</v>
      </c>
      <c r="D24" s="5" t="s">
        <v>238</v>
      </c>
      <c r="E24" s="5" t="s">
        <v>247</v>
      </c>
      <c r="F24" s="5" t="s">
        <v>248</v>
      </c>
      <c r="G24" s="5" t="s">
        <v>249</v>
      </c>
      <c r="H24" s="5" t="s">
        <v>250</v>
      </c>
      <c r="I24" s="5" t="s">
        <v>245</v>
      </c>
      <c r="J24" s="6"/>
      <c r="K24" s="6" t="s">
        <v>251</v>
      </c>
      <c r="L24" s="5" t="n">
        <v>2</v>
      </c>
      <c r="M24" s="7" t="n">
        <f aca="false">TRUE()</f>
        <v>1</v>
      </c>
      <c r="N24" s="7" t="s">
        <v>244</v>
      </c>
      <c r="O24" s="7"/>
      <c r="P24" s="8"/>
    </row>
    <row r="25" customFormat="false" ht="13.8" hidden="false" customHeight="false" outlineLevel="0" collapsed="false">
      <c r="A25" s="1" t="s">
        <v>252</v>
      </c>
      <c r="B25" s="5" t="s">
        <v>253</v>
      </c>
      <c r="C25" s="4" t="s">
        <v>237</v>
      </c>
      <c r="D25" s="5" t="s">
        <v>238</v>
      </c>
      <c r="E25" s="5" t="s">
        <v>254</v>
      </c>
      <c r="F25" s="5" t="s">
        <v>255</v>
      </c>
      <c r="G25" s="5" t="s">
        <v>256</v>
      </c>
      <c r="H25" s="5" t="s">
        <v>257</v>
      </c>
      <c r="I25" s="5" t="s">
        <v>252</v>
      </c>
      <c r="J25" s="6"/>
      <c r="K25" s="6" t="s">
        <v>258</v>
      </c>
      <c r="L25" s="5" t="n">
        <v>2</v>
      </c>
      <c r="M25" s="7" t="n">
        <f aca="false">TRUE()</f>
        <v>1</v>
      </c>
      <c r="N25" s="7" t="s">
        <v>244</v>
      </c>
      <c r="O25" s="7"/>
      <c r="P25" s="8"/>
    </row>
    <row r="26" customFormat="false" ht="13.8" hidden="false" customHeight="false" outlineLevel="0" collapsed="false">
      <c r="A26" s="1" t="s">
        <v>259</v>
      </c>
      <c r="B26" s="5" t="s">
        <v>260</v>
      </c>
      <c r="C26" s="4" t="s">
        <v>237</v>
      </c>
      <c r="D26" s="5" t="s">
        <v>238</v>
      </c>
      <c r="E26" s="5" t="s">
        <v>261</v>
      </c>
      <c r="F26" s="5" t="s">
        <v>262</v>
      </c>
      <c r="G26" s="5" t="s">
        <v>263</v>
      </c>
      <c r="H26" s="5" t="s">
        <v>264</v>
      </c>
      <c r="I26" s="5" t="s">
        <v>259</v>
      </c>
      <c r="J26" s="6"/>
      <c r="K26" s="6" t="s">
        <v>265</v>
      </c>
      <c r="L26" s="5" t="n">
        <v>2</v>
      </c>
      <c r="M26" s="7" t="n">
        <f aca="false">TRUE()</f>
        <v>1</v>
      </c>
      <c r="N26" s="7" t="s">
        <v>244</v>
      </c>
      <c r="O26" s="7"/>
      <c r="P26" s="8"/>
    </row>
    <row r="27" customFormat="false" ht="13.8" hidden="false" customHeight="false" outlineLevel="0" collapsed="false">
      <c r="A27" s="1" t="s">
        <v>266</v>
      </c>
      <c r="B27" s="5" t="s">
        <v>267</v>
      </c>
      <c r="C27" s="4" t="s">
        <v>237</v>
      </c>
      <c r="D27" s="5" t="s">
        <v>238</v>
      </c>
      <c r="E27" s="5" t="s">
        <v>268</v>
      </c>
      <c r="F27" s="5" t="s">
        <v>269</v>
      </c>
      <c r="G27" s="5" t="s">
        <v>270</v>
      </c>
      <c r="H27" s="5" t="s">
        <v>271</v>
      </c>
      <c r="I27" s="5" t="s">
        <v>266</v>
      </c>
      <c r="J27" s="6"/>
      <c r="K27" s="6" t="s">
        <v>272</v>
      </c>
      <c r="L27" s="5" t="n">
        <v>2</v>
      </c>
      <c r="M27" s="7" t="n">
        <f aca="false">TRUE()</f>
        <v>1</v>
      </c>
      <c r="N27" s="7" t="s">
        <v>244</v>
      </c>
      <c r="O27" s="7"/>
      <c r="P27" s="8"/>
    </row>
    <row r="28" customFormat="false" ht="13.8" hidden="false" customHeight="false" outlineLevel="0" collapsed="false">
      <c r="A28" s="1" t="s">
        <v>273</v>
      </c>
      <c r="B28" s="5" t="s">
        <v>274</v>
      </c>
      <c r="C28" s="4" t="s">
        <v>237</v>
      </c>
      <c r="D28" s="5" t="s">
        <v>238</v>
      </c>
      <c r="E28" s="5" t="s">
        <v>275</v>
      </c>
      <c r="F28" s="5" t="s">
        <v>276</v>
      </c>
      <c r="G28" s="5" t="s">
        <v>277</v>
      </c>
      <c r="H28" s="5" t="s">
        <v>278</v>
      </c>
      <c r="I28" s="5" t="s">
        <v>273</v>
      </c>
      <c r="J28" s="6"/>
      <c r="K28" s="6" t="s">
        <v>279</v>
      </c>
      <c r="L28" s="5" t="n">
        <v>2</v>
      </c>
      <c r="M28" s="7" t="n">
        <f aca="false">TRUE()</f>
        <v>1</v>
      </c>
      <c r="N28" s="7" t="s">
        <v>244</v>
      </c>
      <c r="O28" s="7"/>
      <c r="P28" s="8"/>
    </row>
    <row r="29" customFormat="false" ht="13.8" hidden="false" customHeight="false" outlineLevel="0" collapsed="false">
      <c r="A29" s="1" t="s">
        <v>280</v>
      </c>
      <c r="B29" s="5" t="s">
        <v>281</v>
      </c>
      <c r="C29" s="4" t="s">
        <v>237</v>
      </c>
      <c r="D29" s="5" t="s">
        <v>238</v>
      </c>
      <c r="E29" s="5" t="s">
        <v>282</v>
      </c>
      <c r="F29" s="5" t="s">
        <v>283</v>
      </c>
      <c r="G29" s="5" t="s">
        <v>284</v>
      </c>
      <c r="H29" s="5" t="s">
        <v>285</v>
      </c>
      <c r="I29" s="5" t="s">
        <v>280</v>
      </c>
      <c r="J29" s="6"/>
      <c r="K29" s="6" t="s">
        <v>286</v>
      </c>
      <c r="L29" s="5" t="n">
        <v>2</v>
      </c>
      <c r="M29" s="7" t="n">
        <f aca="false">TRUE()</f>
        <v>1</v>
      </c>
      <c r="N29" s="7" t="s">
        <v>244</v>
      </c>
      <c r="O29" s="7" t="n">
        <f aca="false">TRUE()</f>
        <v>1</v>
      </c>
      <c r="P29" s="8"/>
    </row>
    <row r="30" customFormat="false" ht="13.8" hidden="false" customHeight="false" outlineLevel="0" collapsed="false">
      <c r="A30" s="1" t="s">
        <v>287</v>
      </c>
      <c r="B30" s="4" t="s">
        <v>288</v>
      </c>
      <c r="C30" s="4" t="s">
        <v>237</v>
      </c>
      <c r="D30" s="4" t="s">
        <v>238</v>
      </c>
      <c r="E30" s="4" t="s">
        <v>289</v>
      </c>
      <c r="F30" s="4" t="s">
        <v>290</v>
      </c>
      <c r="G30" s="4" t="s">
        <v>291</v>
      </c>
      <c r="H30" s="4" t="s">
        <v>290</v>
      </c>
      <c r="I30" s="4" t="s">
        <v>287</v>
      </c>
      <c r="J30" s="6"/>
      <c r="K30" s="6" t="s">
        <v>292</v>
      </c>
      <c r="L30" s="5" t="n">
        <v>2</v>
      </c>
      <c r="M30" s="7" t="n">
        <f aca="false">TRUE()</f>
        <v>1</v>
      </c>
      <c r="N30" s="7" t="s">
        <v>244</v>
      </c>
      <c r="O30" s="7"/>
      <c r="P30" s="8"/>
    </row>
    <row r="31" customFormat="false" ht="13.8" hidden="false" customHeight="false" outlineLevel="0" collapsed="false">
      <c r="A31" s="1" t="s">
        <v>293</v>
      </c>
      <c r="B31" s="5" t="s">
        <v>294</v>
      </c>
      <c r="C31" s="4" t="s">
        <v>237</v>
      </c>
      <c r="D31" s="5" t="s">
        <v>295</v>
      </c>
      <c r="E31" s="5" t="s">
        <v>296</v>
      </c>
      <c r="F31" s="5" t="s">
        <v>297</v>
      </c>
      <c r="G31" s="5" t="s">
        <v>293</v>
      </c>
      <c r="H31" s="5" t="s">
        <v>297</v>
      </c>
      <c r="I31" s="5" t="s">
        <v>293</v>
      </c>
      <c r="J31" s="6"/>
      <c r="K31" s="6" t="s">
        <v>298</v>
      </c>
      <c r="L31" s="5" t="n">
        <v>2</v>
      </c>
      <c r="M31" s="7" t="n">
        <f aca="false">TRUE()</f>
        <v>1</v>
      </c>
      <c r="N31" s="7" t="s">
        <v>244</v>
      </c>
      <c r="O31" s="7" t="n">
        <f aca="false">TRUE()</f>
        <v>1</v>
      </c>
      <c r="P31" s="8"/>
    </row>
    <row r="32" customFormat="false" ht="13.8" hidden="false" customHeight="false" outlineLevel="0" collapsed="false">
      <c r="A32" s="1" t="s">
        <v>299</v>
      </c>
      <c r="B32" s="5" t="s">
        <v>300</v>
      </c>
      <c r="C32" s="4" t="s">
        <v>237</v>
      </c>
      <c r="D32" s="5" t="s">
        <v>295</v>
      </c>
      <c r="E32" s="5" t="s">
        <v>301</v>
      </c>
      <c r="F32" s="5" t="s">
        <v>302</v>
      </c>
      <c r="G32" s="5" t="s">
        <v>303</v>
      </c>
      <c r="H32" s="5" t="s">
        <v>302</v>
      </c>
      <c r="I32" s="5" t="s">
        <v>299</v>
      </c>
      <c r="J32" s="6"/>
      <c r="K32" s="6" t="s">
        <v>304</v>
      </c>
      <c r="L32" s="5" t="n">
        <v>2</v>
      </c>
      <c r="M32" s="7" t="n">
        <f aca="false">FALSE()</f>
        <v>0</v>
      </c>
      <c r="N32" s="7" t="s">
        <v>244</v>
      </c>
      <c r="O32" s="7" t="n">
        <f aca="false">TRUE()</f>
        <v>1</v>
      </c>
      <c r="P32" s="8"/>
    </row>
    <row r="33" customFormat="false" ht="13.8" hidden="false" customHeight="false" outlineLevel="0" collapsed="false">
      <c r="A33" s="1" t="s">
        <v>305</v>
      </c>
      <c r="B33" s="5" t="s">
        <v>306</v>
      </c>
      <c r="C33" s="4" t="s">
        <v>237</v>
      </c>
      <c r="D33" s="5" t="s">
        <v>295</v>
      </c>
      <c r="E33" s="5" t="s">
        <v>307</v>
      </c>
      <c r="F33" s="5" t="s">
        <v>308</v>
      </c>
      <c r="G33" s="5" t="s">
        <v>305</v>
      </c>
      <c r="H33" s="5" t="s">
        <v>308</v>
      </c>
      <c r="I33" s="5" t="s">
        <v>305</v>
      </c>
      <c r="J33" s="6"/>
      <c r="K33" s="6" t="s">
        <v>309</v>
      </c>
      <c r="L33" s="5" t="n">
        <v>2</v>
      </c>
      <c r="M33" s="10" t="n">
        <f aca="false">TRUE()</f>
        <v>1</v>
      </c>
      <c r="N33" s="7" t="s">
        <v>244</v>
      </c>
      <c r="O33" s="7"/>
      <c r="P33" s="8"/>
    </row>
    <row r="34" customFormat="false" ht="13.8" hidden="false" customHeight="false" outlineLevel="0" collapsed="false">
      <c r="A34" s="1" t="s">
        <v>310</v>
      </c>
      <c r="B34" s="5" t="s">
        <v>311</v>
      </c>
      <c r="C34" s="4" t="s">
        <v>237</v>
      </c>
      <c r="D34" s="5" t="s">
        <v>295</v>
      </c>
      <c r="E34" s="5" t="s">
        <v>312</v>
      </c>
      <c r="F34" s="5" t="s">
        <v>313</v>
      </c>
      <c r="G34" s="5" t="s">
        <v>310</v>
      </c>
      <c r="H34" s="5" t="s">
        <v>313</v>
      </c>
      <c r="I34" s="5" t="s">
        <v>310</v>
      </c>
      <c r="J34" s="6"/>
      <c r="K34" s="6" t="s">
        <v>314</v>
      </c>
      <c r="L34" s="5" t="n">
        <v>2</v>
      </c>
      <c r="M34" s="10" t="n">
        <f aca="false">TRUE()</f>
        <v>1</v>
      </c>
      <c r="N34" s="7" t="s">
        <v>244</v>
      </c>
      <c r="O34" s="7"/>
      <c r="P34" s="8"/>
    </row>
    <row r="35" customFormat="false" ht="13.8" hidden="false" customHeight="false" outlineLevel="0" collapsed="false">
      <c r="A35" s="1" t="s">
        <v>315</v>
      </c>
      <c r="B35" s="5" t="s">
        <v>316</v>
      </c>
      <c r="C35" s="4" t="s">
        <v>237</v>
      </c>
      <c r="D35" s="5" t="s">
        <v>295</v>
      </c>
      <c r="E35" s="5" t="s">
        <v>317</v>
      </c>
      <c r="F35" s="5" t="s">
        <v>318</v>
      </c>
      <c r="G35" s="5" t="s">
        <v>315</v>
      </c>
      <c r="H35" s="5" t="s">
        <v>318</v>
      </c>
      <c r="I35" s="5" t="s">
        <v>315</v>
      </c>
      <c r="J35" s="6"/>
      <c r="K35" s="6" t="s">
        <v>319</v>
      </c>
      <c r="L35" s="5" t="n">
        <v>2</v>
      </c>
      <c r="M35" s="10" t="n">
        <f aca="false">TRUE()</f>
        <v>1</v>
      </c>
      <c r="N35" s="7" t="s">
        <v>244</v>
      </c>
      <c r="O35" s="7"/>
      <c r="P35" s="8"/>
    </row>
    <row r="36" customFormat="false" ht="13.8" hidden="false" customHeight="false" outlineLevel="0" collapsed="false">
      <c r="A36" s="1" t="s">
        <v>320</v>
      </c>
      <c r="B36" s="5" t="s">
        <v>321</v>
      </c>
      <c r="C36" s="4" t="s">
        <v>237</v>
      </c>
      <c r="D36" s="5" t="s">
        <v>295</v>
      </c>
      <c r="E36" s="5" t="s">
        <v>322</v>
      </c>
      <c r="F36" s="5" t="s">
        <v>323</v>
      </c>
      <c r="G36" s="5" t="s">
        <v>320</v>
      </c>
      <c r="H36" s="5" t="s">
        <v>323</v>
      </c>
      <c r="I36" s="5" t="s">
        <v>320</v>
      </c>
      <c r="J36" s="6"/>
      <c r="K36" s="6" t="s">
        <v>324</v>
      </c>
      <c r="L36" s="5" t="n">
        <v>2</v>
      </c>
      <c r="M36" s="10" t="n">
        <f aca="false">TRUE()</f>
        <v>1</v>
      </c>
      <c r="N36" s="7" t="s">
        <v>244</v>
      </c>
      <c r="O36" s="7"/>
      <c r="P36" s="8"/>
    </row>
    <row r="37" customFormat="false" ht="13.8" hidden="false" customHeight="false" outlineLevel="0" collapsed="false">
      <c r="A37" s="1" t="s">
        <v>325</v>
      </c>
      <c r="B37" s="5" t="s">
        <v>326</v>
      </c>
      <c r="C37" s="4" t="s">
        <v>237</v>
      </c>
      <c r="D37" s="5" t="s">
        <v>295</v>
      </c>
      <c r="E37" s="5" t="s">
        <v>327</v>
      </c>
      <c r="F37" s="5" t="s">
        <v>328</v>
      </c>
      <c r="G37" s="5" t="s">
        <v>325</v>
      </c>
      <c r="H37" s="5" t="s">
        <v>328</v>
      </c>
      <c r="I37" s="5" t="s">
        <v>325</v>
      </c>
      <c r="J37" s="6"/>
      <c r="K37" s="6" t="s">
        <v>329</v>
      </c>
      <c r="L37" s="5" t="n">
        <v>2</v>
      </c>
      <c r="M37" s="10" t="n">
        <f aca="false">TRUE()</f>
        <v>1</v>
      </c>
      <c r="N37" s="7" t="s">
        <v>244</v>
      </c>
      <c r="O37" s="7"/>
      <c r="P37" s="8"/>
    </row>
    <row r="38" customFormat="false" ht="13.8" hidden="false" customHeight="false" outlineLevel="0" collapsed="false">
      <c r="A38" s="1" t="s">
        <v>330</v>
      </c>
      <c r="B38" s="5" t="s">
        <v>331</v>
      </c>
      <c r="C38" s="4" t="s">
        <v>237</v>
      </c>
      <c r="D38" s="5" t="s">
        <v>295</v>
      </c>
      <c r="E38" s="5" t="s">
        <v>332</v>
      </c>
      <c r="F38" s="5" t="s">
        <v>333</v>
      </c>
      <c r="G38" s="5" t="s">
        <v>330</v>
      </c>
      <c r="H38" s="5" t="s">
        <v>333</v>
      </c>
      <c r="I38" s="5" t="s">
        <v>330</v>
      </c>
      <c r="J38" s="6"/>
      <c r="K38" s="6" t="s">
        <v>334</v>
      </c>
      <c r="L38" s="5" t="n">
        <v>2</v>
      </c>
      <c r="M38" s="10" t="n">
        <f aca="false">TRUE()</f>
        <v>1</v>
      </c>
      <c r="N38" s="7" t="s">
        <v>244</v>
      </c>
      <c r="O38" s="7"/>
      <c r="P38" s="8"/>
    </row>
    <row r="39" customFormat="false" ht="13.8" hidden="false" customHeight="false" outlineLevel="0" collapsed="false">
      <c r="A39" s="1" t="s">
        <v>335</v>
      </c>
      <c r="B39" s="5" t="s">
        <v>336</v>
      </c>
      <c r="C39" s="4" t="s">
        <v>237</v>
      </c>
      <c r="D39" s="5" t="s">
        <v>295</v>
      </c>
      <c r="E39" s="5" t="s">
        <v>337</v>
      </c>
      <c r="F39" s="5" t="s">
        <v>338</v>
      </c>
      <c r="G39" s="5" t="s">
        <v>335</v>
      </c>
      <c r="H39" s="5" t="s">
        <v>338</v>
      </c>
      <c r="I39" s="5" t="s">
        <v>335</v>
      </c>
      <c r="J39" s="6"/>
      <c r="K39" s="6" t="s">
        <v>339</v>
      </c>
      <c r="L39" s="5" t="n">
        <v>2</v>
      </c>
      <c r="M39" s="10" t="n">
        <f aca="false">TRUE()</f>
        <v>1</v>
      </c>
      <c r="N39" s="7" t="s">
        <v>244</v>
      </c>
      <c r="O39" s="7"/>
      <c r="P39" s="8"/>
    </row>
    <row r="40" customFormat="false" ht="13.8" hidden="false" customHeight="false" outlineLevel="0" collapsed="false">
      <c r="A40" s="1" t="s">
        <v>340</v>
      </c>
      <c r="B40" s="5" t="s">
        <v>341</v>
      </c>
      <c r="C40" s="4" t="s">
        <v>237</v>
      </c>
      <c r="D40" s="5" t="s">
        <v>295</v>
      </c>
      <c r="E40" s="5" t="s">
        <v>342</v>
      </c>
      <c r="F40" s="5" t="s">
        <v>343</v>
      </c>
      <c r="G40" s="5" t="s">
        <v>340</v>
      </c>
      <c r="H40" s="5" t="s">
        <v>343</v>
      </c>
      <c r="I40" s="5" t="s">
        <v>340</v>
      </c>
      <c r="J40" s="6"/>
      <c r="K40" s="6" t="s">
        <v>344</v>
      </c>
      <c r="L40" s="5" t="n">
        <v>2</v>
      </c>
      <c r="M40" s="7" t="n">
        <f aca="false">TRUE()</f>
        <v>1</v>
      </c>
      <c r="N40" s="7" t="s">
        <v>244</v>
      </c>
      <c r="O40" s="7"/>
      <c r="P40" s="8"/>
    </row>
    <row r="41" customFormat="false" ht="13.8" hidden="false" customHeight="false" outlineLevel="0" collapsed="false">
      <c r="A41" s="1" t="s">
        <v>345</v>
      </c>
      <c r="B41" s="5" t="s">
        <v>346</v>
      </c>
      <c r="C41" s="4" t="s">
        <v>237</v>
      </c>
      <c r="D41" s="5" t="s">
        <v>295</v>
      </c>
      <c r="E41" s="5" t="s">
        <v>347</v>
      </c>
      <c r="F41" s="5" t="s">
        <v>348</v>
      </c>
      <c r="G41" s="5" t="s">
        <v>345</v>
      </c>
      <c r="H41" s="5" t="s">
        <v>348</v>
      </c>
      <c r="I41" s="5" t="s">
        <v>345</v>
      </c>
      <c r="J41" s="6"/>
      <c r="K41" s="6" t="s">
        <v>349</v>
      </c>
      <c r="L41" s="5" t="n">
        <v>2</v>
      </c>
      <c r="M41" s="7" t="n">
        <f aca="false">TRUE()</f>
        <v>1</v>
      </c>
      <c r="N41" s="7" t="s">
        <v>244</v>
      </c>
      <c r="O41" s="7"/>
      <c r="P41" s="8"/>
    </row>
    <row r="42" customFormat="false" ht="13.8" hidden="false" customHeight="false" outlineLevel="0" collapsed="false">
      <c r="A42" s="1" t="s">
        <v>350</v>
      </c>
      <c r="B42" s="5" t="s">
        <v>351</v>
      </c>
      <c r="C42" s="4" t="s">
        <v>237</v>
      </c>
      <c r="D42" s="5" t="s">
        <v>295</v>
      </c>
      <c r="E42" s="5" t="s">
        <v>352</v>
      </c>
      <c r="F42" s="5" t="s">
        <v>353</v>
      </c>
      <c r="G42" s="5" t="s">
        <v>350</v>
      </c>
      <c r="H42" s="5" t="s">
        <v>353</v>
      </c>
      <c r="I42" s="5" t="s">
        <v>350</v>
      </c>
      <c r="J42" s="6"/>
      <c r="K42" s="6" t="s">
        <v>354</v>
      </c>
      <c r="L42" s="5" t="n">
        <v>2</v>
      </c>
      <c r="M42" s="7" t="n">
        <f aca="false">TRUE()</f>
        <v>1</v>
      </c>
      <c r="N42" s="7" t="s">
        <v>244</v>
      </c>
      <c r="O42" s="7"/>
      <c r="P42" s="8"/>
    </row>
    <row r="43" customFormat="false" ht="13.8" hidden="false" customHeight="false" outlineLevel="0" collapsed="false">
      <c r="A43" s="1" t="s">
        <v>355</v>
      </c>
      <c r="B43" s="5" t="s">
        <v>356</v>
      </c>
      <c r="C43" s="4" t="s">
        <v>237</v>
      </c>
      <c r="D43" s="5" t="s">
        <v>295</v>
      </c>
      <c r="E43" s="5" t="s">
        <v>357</v>
      </c>
      <c r="F43" s="5" t="s">
        <v>358</v>
      </c>
      <c r="G43" s="5" t="s">
        <v>355</v>
      </c>
      <c r="H43" s="5" t="s">
        <v>358</v>
      </c>
      <c r="I43" s="5" t="s">
        <v>355</v>
      </c>
      <c r="J43" s="6"/>
      <c r="K43" s="6" t="s">
        <v>359</v>
      </c>
      <c r="L43" s="5" t="n">
        <v>2</v>
      </c>
      <c r="M43" s="10" t="n">
        <f aca="false">TRUE()</f>
        <v>1</v>
      </c>
      <c r="N43" s="7" t="s">
        <v>244</v>
      </c>
      <c r="O43" s="7" t="n">
        <f aca="false">TRUE()</f>
        <v>1</v>
      </c>
      <c r="P43" s="8"/>
    </row>
    <row r="44" customFormat="false" ht="13.8" hidden="false" customHeight="false" outlineLevel="0" collapsed="false">
      <c r="A44" s="1" t="s">
        <v>360</v>
      </c>
      <c r="B44" s="5" t="s">
        <v>361</v>
      </c>
      <c r="C44" s="4" t="s">
        <v>362</v>
      </c>
      <c r="D44" s="5" t="s">
        <v>295</v>
      </c>
      <c r="E44" s="5" t="s">
        <v>363</v>
      </c>
      <c r="F44" s="5" t="s">
        <v>364</v>
      </c>
      <c r="G44" s="5" t="s">
        <v>360</v>
      </c>
      <c r="H44" s="5" t="s">
        <v>364</v>
      </c>
      <c r="I44" s="5" t="s">
        <v>360</v>
      </c>
      <c r="J44" s="6"/>
      <c r="K44" s="6" t="s">
        <v>365</v>
      </c>
      <c r="L44" s="5" t="n">
        <v>2</v>
      </c>
      <c r="M44" s="10" t="n">
        <f aca="false">FALSE()</f>
        <v>0</v>
      </c>
      <c r="N44" s="7" t="s">
        <v>244</v>
      </c>
      <c r="O44" s="7"/>
      <c r="P44" s="8"/>
    </row>
    <row r="45" customFormat="false" ht="13.8" hidden="false" customHeight="false" outlineLevel="0" collapsed="false">
      <c r="A45" s="1" t="s">
        <v>366</v>
      </c>
      <c r="B45" s="5" t="s">
        <v>367</v>
      </c>
      <c r="C45" s="4" t="s">
        <v>237</v>
      </c>
      <c r="D45" s="5" t="s">
        <v>295</v>
      </c>
      <c r="E45" s="5" t="s">
        <v>368</v>
      </c>
      <c r="F45" s="5" t="s">
        <v>369</v>
      </c>
      <c r="G45" s="5" t="s">
        <v>366</v>
      </c>
      <c r="H45" s="5" t="s">
        <v>369</v>
      </c>
      <c r="I45" s="5" t="s">
        <v>366</v>
      </c>
      <c r="J45" s="6"/>
      <c r="K45" s="6" t="s">
        <v>370</v>
      </c>
      <c r="L45" s="5" t="n">
        <v>2</v>
      </c>
      <c r="M45" s="10" t="n">
        <f aca="false">TRUE()</f>
        <v>1</v>
      </c>
      <c r="N45" s="7" t="s">
        <v>244</v>
      </c>
      <c r="O45" s="7"/>
      <c r="P45" s="8"/>
    </row>
    <row r="46" customFormat="false" ht="13.8" hidden="false" customHeight="false" outlineLevel="0" collapsed="false">
      <c r="A46" s="1" t="s">
        <v>371</v>
      </c>
      <c r="B46" s="5" t="s">
        <v>372</v>
      </c>
      <c r="C46" s="4" t="s">
        <v>237</v>
      </c>
      <c r="D46" s="5" t="s">
        <v>295</v>
      </c>
      <c r="E46" s="5" t="s">
        <v>373</v>
      </c>
      <c r="F46" s="5" t="s">
        <v>374</v>
      </c>
      <c r="G46" s="5" t="s">
        <v>371</v>
      </c>
      <c r="H46" s="5" t="s">
        <v>374</v>
      </c>
      <c r="I46" s="5" t="s">
        <v>371</v>
      </c>
      <c r="J46" s="6"/>
      <c r="K46" s="6" t="s">
        <v>375</v>
      </c>
      <c r="L46" s="5" t="n">
        <v>2</v>
      </c>
      <c r="M46" s="10" t="n">
        <f aca="false">TRUE()</f>
        <v>1</v>
      </c>
      <c r="N46" s="7" t="s">
        <v>244</v>
      </c>
      <c r="O46" s="7"/>
      <c r="P46" s="8"/>
    </row>
    <row r="47" customFormat="false" ht="13.8" hidden="false" customHeight="false" outlineLevel="0" collapsed="false">
      <c r="A47" s="1" t="s">
        <v>376</v>
      </c>
      <c r="B47" s="5" t="s">
        <v>377</v>
      </c>
      <c r="C47" s="4" t="s">
        <v>237</v>
      </c>
      <c r="D47" s="5" t="s">
        <v>295</v>
      </c>
      <c r="E47" s="5" t="s">
        <v>378</v>
      </c>
      <c r="F47" s="5" t="s">
        <v>379</v>
      </c>
      <c r="G47" s="5" t="s">
        <v>376</v>
      </c>
      <c r="H47" s="5" t="s">
        <v>379</v>
      </c>
      <c r="I47" s="5" t="s">
        <v>376</v>
      </c>
      <c r="J47" s="6"/>
      <c r="K47" s="6" t="s">
        <v>380</v>
      </c>
      <c r="L47" s="5" t="n">
        <v>2</v>
      </c>
      <c r="M47" s="10" t="n">
        <f aca="false">TRUE()</f>
        <v>1</v>
      </c>
      <c r="N47" s="7" t="s">
        <v>244</v>
      </c>
      <c r="O47" s="7"/>
      <c r="P47" s="8"/>
    </row>
    <row r="48" customFormat="false" ht="13.8" hidden="false" customHeight="false" outlineLevel="0" collapsed="false">
      <c r="A48" s="1" t="s">
        <v>381</v>
      </c>
      <c r="B48" s="5" t="s">
        <v>382</v>
      </c>
      <c r="C48" s="4" t="s">
        <v>237</v>
      </c>
      <c r="D48" s="5" t="s">
        <v>295</v>
      </c>
      <c r="E48" s="5" t="s">
        <v>383</v>
      </c>
      <c r="F48" s="5" t="s">
        <v>384</v>
      </c>
      <c r="G48" s="5" t="s">
        <v>381</v>
      </c>
      <c r="H48" s="5" t="s">
        <v>384</v>
      </c>
      <c r="I48" s="5" t="s">
        <v>381</v>
      </c>
      <c r="J48" s="6"/>
      <c r="K48" s="6" t="s">
        <v>385</v>
      </c>
      <c r="L48" s="5" t="n">
        <v>2</v>
      </c>
      <c r="M48" s="7" t="n">
        <f aca="false">FALSE()</f>
        <v>0</v>
      </c>
      <c r="N48" s="7" t="s">
        <v>386</v>
      </c>
      <c r="O48" s="7" t="n">
        <f aca="false">TRUE()</f>
        <v>1</v>
      </c>
      <c r="P48" s="8"/>
    </row>
    <row r="49" customFormat="false" ht="13.8" hidden="false" customHeight="false" outlineLevel="0" collapsed="false">
      <c r="A49" s="1" t="s">
        <v>387</v>
      </c>
      <c r="B49" s="5" t="s">
        <v>388</v>
      </c>
      <c r="C49" s="4" t="s">
        <v>237</v>
      </c>
      <c r="D49" s="5" t="s">
        <v>295</v>
      </c>
      <c r="E49" s="5" t="s">
        <v>389</v>
      </c>
      <c r="F49" s="5" t="s">
        <v>390</v>
      </c>
      <c r="G49" s="5" t="s">
        <v>387</v>
      </c>
      <c r="H49" s="5" t="s">
        <v>390</v>
      </c>
      <c r="I49" s="5" t="s">
        <v>387</v>
      </c>
      <c r="J49" s="6"/>
      <c r="K49" s="6" t="s">
        <v>391</v>
      </c>
      <c r="L49" s="5" t="n">
        <v>2</v>
      </c>
      <c r="M49" s="12" t="n">
        <f aca="false">TRUE()</f>
        <v>1</v>
      </c>
      <c r="N49" s="12" t="s">
        <v>392</v>
      </c>
      <c r="O49" s="12"/>
      <c r="P49" s="13"/>
    </row>
    <row r="50" customFormat="false" ht="13.8" hidden="false" customHeight="false" outlineLevel="0" collapsed="false">
      <c r="A50" s="1" t="s">
        <v>393</v>
      </c>
      <c r="B50" s="5" t="s">
        <v>394</v>
      </c>
      <c r="C50" s="4" t="s">
        <v>237</v>
      </c>
      <c r="D50" s="5" t="s">
        <v>295</v>
      </c>
      <c r="E50" s="5" t="s">
        <v>395</v>
      </c>
      <c r="F50" s="5" t="s">
        <v>396</v>
      </c>
      <c r="G50" s="5" t="s">
        <v>393</v>
      </c>
      <c r="H50" s="5" t="s">
        <v>396</v>
      </c>
      <c r="I50" s="5" t="s">
        <v>393</v>
      </c>
      <c r="J50" s="6"/>
      <c r="K50" s="6" t="s">
        <v>397</v>
      </c>
      <c r="L50" s="5" t="n">
        <v>2</v>
      </c>
      <c r="M50" s="12" t="n">
        <f aca="false">TRUE()</f>
        <v>1</v>
      </c>
      <c r="N50" s="12" t="s">
        <v>398</v>
      </c>
      <c r="O50" s="12"/>
      <c r="P50" s="13"/>
    </row>
    <row r="51" customFormat="false" ht="13.8" hidden="false" customHeight="false" outlineLevel="0" collapsed="false">
      <c r="A51" s="1" t="s">
        <v>399</v>
      </c>
      <c r="B51" s="5" t="s">
        <v>400</v>
      </c>
      <c r="C51" s="4" t="s">
        <v>401</v>
      </c>
      <c r="D51" s="5" t="s">
        <v>295</v>
      </c>
      <c r="E51" s="5" t="s">
        <v>402</v>
      </c>
      <c r="F51" s="5" t="s">
        <v>403</v>
      </c>
      <c r="G51" s="5" t="s">
        <v>399</v>
      </c>
      <c r="H51" s="5" t="s">
        <v>403</v>
      </c>
      <c r="I51" s="5" t="s">
        <v>399</v>
      </c>
      <c r="J51" s="6"/>
      <c r="K51" s="6" t="s">
        <v>404</v>
      </c>
      <c r="L51" s="5" t="n">
        <v>2</v>
      </c>
      <c r="M51" s="12" t="n">
        <f aca="false">TRUE()</f>
        <v>1</v>
      </c>
      <c r="N51" s="12" t="s">
        <v>392</v>
      </c>
      <c r="O51" s="12"/>
      <c r="P51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2020-09-11T13:48:13Z</dcterms:created>
  <dc:creator/>
  <dc:description/>
  <dc:language>en-GB</dc:language>
  <cp:lastModifiedBy/>
  <dcterms:modified xsi:type="dcterms:W3CDTF">2020-11-13T14:49:28Z</dcterms:modified>
  <cp:revision>4</cp:revision>
  <dc:subject/>
  <dc:title/>
</cp:coreProperties>
</file>